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 " sheetId="2" r:id="rId6"/>
    <sheet state="visible" name="3" sheetId="3" r:id="rId7"/>
    <sheet state="visible" name="4" sheetId="4" r:id="rId8"/>
  </sheets>
  <definedNames>
    <definedName hidden="1" localSheetId="0" name="_xlnm._FilterDatabase">'1'!$AB$1:$AB$998</definedName>
  </definedNames>
  <calcPr/>
</workbook>
</file>

<file path=xl/sharedStrings.xml><?xml version="1.0" encoding="utf-8"?>
<sst xmlns="http://schemas.openxmlformats.org/spreadsheetml/2006/main" count="139" uniqueCount="68">
  <si>
    <t>Перевозки грузов по видам транспорта по Российской Федерации</t>
  </si>
  <si>
    <t>(миллион тонн)</t>
  </si>
  <si>
    <t xml:space="preserve">Транспорт - всего </t>
  </si>
  <si>
    <t>в том числе:</t>
  </si>
  <si>
    <t>железнодорожный</t>
  </si>
  <si>
    <t>автомобильный</t>
  </si>
  <si>
    <t>трубопроводный</t>
  </si>
  <si>
    <t>газопроводный</t>
  </si>
  <si>
    <t>…</t>
  </si>
  <si>
    <t>нефтепроводный</t>
  </si>
  <si>
    <t>нефтепродуктопроводный</t>
  </si>
  <si>
    <r>
      <rPr>
        <rFont val="Times New Roman"/>
        <color rgb="FF000000"/>
        <sz val="12.0"/>
      </rPr>
      <t>морской</t>
    </r>
    <r>
      <rPr>
        <rFont val="Times New Roman"/>
        <color rgb="FF000000"/>
        <sz val="12.0"/>
        <vertAlign val="superscript"/>
      </rPr>
      <t>2)</t>
    </r>
  </si>
  <si>
    <r>
      <rPr>
        <rFont val="Times New Roman"/>
        <color rgb="FF000000"/>
        <sz val="12.0"/>
      </rPr>
      <t>внутренний водный</t>
    </r>
    <r>
      <rPr>
        <rFont val="Times New Roman"/>
        <color rgb="FF000000"/>
        <sz val="12.0"/>
        <vertAlign val="superscript"/>
      </rPr>
      <t>3)</t>
    </r>
  </si>
  <si>
    <r>
      <rPr>
        <rFont val="Times New Roman"/>
        <color rgb="FF000000"/>
        <sz val="12.0"/>
      </rPr>
      <t>воздушный</t>
    </r>
    <r>
      <rPr>
        <rFont val="Times New Roman"/>
        <color rgb="FF000000"/>
        <sz val="12.0"/>
        <vertAlign val="superscript"/>
      </rPr>
      <t>4)</t>
    </r>
  </si>
  <si>
    <r>
      <rPr>
        <rFont val="Times New Roman"/>
        <color theme="1"/>
        <sz val="12.0"/>
        <vertAlign val="superscript"/>
      </rPr>
      <t>1)</t>
    </r>
    <r>
      <rPr>
        <rFont val="Times New Roman"/>
        <color theme="1"/>
        <sz val="12.0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</si>
  <si>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rFont val="Times New Roman"/>
        <color rgb="FF000000"/>
        <sz val="12.0"/>
        <vertAlign val="superscript"/>
      </rPr>
      <t>2)</t>
    </r>
    <r>
      <rPr>
        <rFont val="Times New Roman"/>
        <color rgb="FF000000"/>
        <sz val="12.0"/>
      </rPr>
      <t xml:space="preserve"> С 2012 г. - исключая перевозки судами смешанного (река-море) плавания. С 2015 г. - по данным Росморречфлота.</t>
    </r>
  </si>
  <si>
    <r>
      <rPr>
        <rFont val="Times New Roman"/>
        <color rgb="FF000000"/>
        <sz val="12.0"/>
        <vertAlign val="superscript"/>
      </rPr>
      <t>3)</t>
    </r>
    <r>
      <rPr>
        <rFont val="Times New Roman"/>
        <color rgb="FF000000"/>
        <sz val="12.0"/>
      </rPr>
      <t xml:space="preserve"> С 2012 г. - включая перевозки судами смешанного (река-море) плавания. С 2015 г. - по данным Росморречфлота.</t>
    </r>
  </si>
  <si>
    <r>
      <rPr>
        <rFont val="Times New Roman"/>
        <color rgb="FF000000"/>
        <sz val="12.0"/>
        <vertAlign val="superscript"/>
      </rPr>
      <t>4)</t>
    </r>
    <r>
      <rPr>
        <rFont val="Times New Roman"/>
        <color rgb="FF000000"/>
        <sz val="12.0"/>
      </rPr>
      <t xml:space="preserve"> По данным Росавиации.</t>
    </r>
  </si>
  <si>
    <t>2000-2004</t>
  </si>
  <si>
    <t>2005-2009</t>
  </si>
  <si>
    <t>2010-2014</t>
  </si>
  <si>
    <t>2015-2019</t>
  </si>
  <si>
    <t>2020-2024</t>
  </si>
  <si>
    <t>Среднее значение объема перевозок (итого)</t>
  </si>
  <si>
    <t>Медиана</t>
  </si>
  <si>
    <t>Min значение</t>
  </si>
  <si>
    <t>Max значение</t>
  </si>
  <si>
    <t>Процентное изменение периодов</t>
  </si>
  <si>
    <t>Процентное соотношение вида перевозки грузов</t>
  </si>
  <si>
    <t>нет данных</t>
  </si>
  <si>
    <t>морской</t>
  </si>
  <si>
    <t>внутренний водный</t>
  </si>
  <si>
    <t>воздушный</t>
  </si>
  <si>
    <t>Автомобильный транспорт стабильно занимает наибольшую долю в общей структуре перевозок, начиная с 2000 года и до 2024 года. Это подтверждает важность автомобильного транспорта для России в плане перевозок грузов, а также его ведущую роль в экономике страны.
Трубопроводный транспорт остается крайне малым в процентном отношении, с долей, близкой к 0,01% на протяжении всех лет.
Водный транспорт также имеет низкую долю (менее 2%), что может быть связано с ограниченной ролью водных путей в перевозке грузов по сравнению с другими видами транспорта, такими как железнодорожный и автомобильный транспорт.
Железнодорожный транспорт имеет постепенный рост доли, начиная с 2000 года и достигая более значимых показателей в последние годы. Этот тренд может свидетельствовать о том, что железнодорожный транспорт снова становится важным для России, возможно, из-за улучшения инфраструктуры или роста грузовых перевозок по железным дорогам.
Воздушный транспорт показывает незначительную долю на протяжении всего периода, оставаясь на уровне около 1%. Это может быть связано с тем, что воздушные перевозки грузов в основном используются для высокоскоростных или специфических товаров, и они не занимают большую долю в общих объемах.</t>
  </si>
  <si>
    <t>Медиана для большинства периодов близка к среднему значению, что подтверждает отсутствие значительных выбросов. Однако, заметно повышение медианы в 2020-2024 годах, что свидетельствует о росте объемов перевозок в последние годы, а также о возможных улучшениях в транспортной инфраструктуре или повышении спроса.</t>
  </si>
  <si>
    <t>В период 2005-2009 наблюдается небольшой рост по сравнению с другими периодами, что может свидетельствовать о повышенной активности или улучшении инфраструктуры в этот промежуток.
Период 2020-2024 также показал незначительный рост по сравнению с предыдущими периодами, что может быть связано с восстановлением экономики или увеличением транспортной активности в последние годы, возможно, из-за улучшений в транспортной инфраструктуре.
Период 2005-2009 и 2020-2024 могут быть интерпретированы как годы с повышенной активностью, в то время как в 2010-2014 и 2015-2019 наблюдается стабильность в объемах перевозок.
Общее впечатление — объем перевозок в России оставался стабильным с небольшими колебаниями на протяжении всех периодов, при этом были росты в определенные годы, что может быть связано с экономическими или инфраструктурными изменениями.</t>
  </si>
  <si>
    <t>В содержание</t>
  </si>
  <si>
    <t>Структура перевозок грузов по видам транспорта по Российской Федерации</t>
  </si>
  <si>
    <t>(процент)</t>
  </si>
  <si>
    <t>водный транспорт</t>
  </si>
  <si>
    <r>
      <rPr>
        <rFont val="Times New Roman"/>
        <color theme="1"/>
        <sz val="12.0"/>
        <vertAlign val="superscript"/>
      </rPr>
      <t>1)</t>
    </r>
    <r>
      <rPr>
        <rFont val="Times New Roman"/>
        <color theme="1"/>
        <sz val="12.0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</si>
  <si>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Перевозки пассажиров по видам транспорта общего пользования по Российской Федерации</t>
  </si>
  <si>
    <t>(миллион человек)</t>
  </si>
  <si>
    <r>
      <rPr>
        <rFont val="Times New Roman"/>
        <color theme="1"/>
        <sz val="12.0"/>
      </rPr>
      <t>2022</t>
    </r>
    <r>
      <rPr>
        <rFont val="Times New Roman"/>
        <color theme="1"/>
        <sz val="12.0"/>
        <vertAlign val="superscript"/>
      </rPr>
      <t>1)</t>
    </r>
  </si>
  <si>
    <r>
      <rPr>
        <rFont val="Times New Roman"/>
        <color theme="1"/>
        <sz val="12.0"/>
      </rPr>
      <t>2023</t>
    </r>
    <r>
      <rPr>
        <rFont val="Times New Roman"/>
        <color theme="1"/>
        <sz val="12.0"/>
        <vertAlign val="superscript"/>
      </rPr>
      <t>1)</t>
    </r>
  </si>
  <si>
    <r>
      <rPr>
        <rFont val="Times New Roman"/>
        <color theme="1"/>
        <sz val="12.0"/>
      </rPr>
      <t>2024</t>
    </r>
    <r>
      <rPr>
        <rFont val="Times New Roman"/>
        <color theme="1"/>
        <sz val="12.0"/>
        <vertAlign val="superscript"/>
      </rPr>
      <t>1)</t>
    </r>
  </si>
  <si>
    <r>
      <rPr>
        <rFont val="Times New Roman"/>
        <color theme="1"/>
        <sz val="12.0"/>
      </rPr>
      <t>автобусный</t>
    </r>
    <r>
      <rPr>
        <rFont val="Times New Roman"/>
        <color theme="1"/>
        <sz val="12.0"/>
        <vertAlign val="superscript"/>
      </rPr>
      <t>2)</t>
    </r>
  </si>
  <si>
    <t>трамвайный</t>
  </si>
  <si>
    <t>троллейбусный</t>
  </si>
  <si>
    <t>метрополитен</t>
  </si>
  <si>
    <r>
      <rPr>
        <rFont val="Times New Roman"/>
        <color theme="1"/>
        <sz val="12.0"/>
      </rPr>
      <t>морской</t>
    </r>
    <r>
      <rPr>
        <rFont val="Times New Roman"/>
        <color theme="1"/>
        <sz val="12.0"/>
        <vertAlign val="superscript"/>
      </rPr>
      <t>3)</t>
    </r>
  </si>
  <si>
    <r>
      <rPr>
        <rFont val="Times New Roman"/>
        <color theme="1"/>
        <sz val="12.0"/>
      </rPr>
      <t>внутренний водный</t>
    </r>
    <r>
      <rPr>
        <rFont val="Times New Roman"/>
        <color theme="1"/>
        <sz val="12.0"/>
        <vertAlign val="superscript"/>
      </rPr>
      <t>3)</t>
    </r>
  </si>
  <si>
    <r>
      <rPr>
        <rFont val="Times New Roman"/>
        <color theme="1"/>
        <sz val="12.0"/>
      </rPr>
      <t>воздушный</t>
    </r>
    <r>
      <rPr>
        <rFont val="Times New Roman"/>
        <color theme="1"/>
        <sz val="12.0"/>
        <vertAlign val="superscript"/>
      </rPr>
      <t xml:space="preserve">4) </t>
    </r>
  </si>
  <si>
    <t>Процентное соотношение вида перевозки пассажиров</t>
  </si>
  <si>
    <r>
      <rPr>
        <rFont val="Times New Roman"/>
        <color theme="1"/>
        <sz val="12.0"/>
      </rPr>
      <t>2022</t>
    </r>
    <r>
      <rPr>
        <rFont val="Times New Roman"/>
        <color theme="1"/>
        <sz val="12.0"/>
        <vertAlign val="superscript"/>
      </rPr>
      <t>1)</t>
    </r>
  </si>
  <si>
    <r>
      <rPr>
        <rFont val="Times New Roman"/>
        <color theme="1"/>
        <sz val="12.0"/>
      </rPr>
      <t>2023</t>
    </r>
    <r>
      <rPr>
        <rFont val="Times New Roman"/>
        <color theme="1"/>
        <sz val="12.0"/>
        <vertAlign val="superscript"/>
      </rPr>
      <t>1)</t>
    </r>
  </si>
  <si>
    <r>
      <rPr>
        <rFont val="Times New Roman"/>
        <color theme="1"/>
        <sz val="12.0"/>
      </rPr>
      <t>2024</t>
    </r>
    <r>
      <rPr>
        <rFont val="Times New Roman"/>
        <color theme="1"/>
        <sz val="12.0"/>
        <vertAlign val="superscript"/>
      </rPr>
      <t>1)</t>
    </r>
  </si>
  <si>
    <r>
      <rPr>
        <rFont val="Times New Roman"/>
        <color theme="1"/>
        <sz val="12.0"/>
      </rPr>
      <t>автобусный</t>
    </r>
    <r>
      <rPr>
        <rFont val="Times New Roman"/>
        <color theme="1"/>
        <sz val="12.0"/>
        <vertAlign val="superscript"/>
      </rPr>
      <t>2)</t>
    </r>
  </si>
  <si>
    <r>
      <rPr>
        <rFont val="Times New Roman"/>
        <color theme="1"/>
        <sz val="12.0"/>
      </rPr>
      <t>морской</t>
    </r>
    <r>
      <rPr>
        <rFont val="Times New Roman"/>
        <color theme="1"/>
        <sz val="12.0"/>
        <vertAlign val="superscript"/>
      </rPr>
      <t>3)</t>
    </r>
  </si>
  <si>
    <r>
      <rPr>
        <rFont val="Times New Roman"/>
        <color theme="1"/>
        <sz val="12.0"/>
      </rPr>
      <t>внутренний водный</t>
    </r>
    <r>
      <rPr>
        <rFont val="Times New Roman"/>
        <color theme="1"/>
        <sz val="12.0"/>
        <vertAlign val="superscript"/>
      </rPr>
      <t>3)</t>
    </r>
  </si>
  <si>
    <r>
      <rPr>
        <rFont val="Times New Roman"/>
        <color theme="1"/>
        <sz val="12.0"/>
      </rPr>
      <t>воздушный</t>
    </r>
    <r>
      <rPr>
        <rFont val="Times New Roman"/>
        <color theme="1"/>
        <sz val="12.0"/>
        <vertAlign val="superscript"/>
      </rPr>
      <t xml:space="preserve">4) </t>
    </r>
  </si>
  <si>
    <t>Городской электрический транспорт:
Это вид транспорта стабильно занимает наибольшую долю среди всех видов перевозок пассажиров, начиная с 2000 года. В 2000 году его доля составляла 45,4%, а в 2024 году — 33,1%. Однако его доля остается на высоком уровне, несмотря на общий тренд снижения.
Автомобильный транспорт:
Этот вид транспорта также показывает значительную долю в перевозках, которая в 2000 году составляла 51,2% и постепенно снижалась до 58,6% в 2024 году. В последние годы наблюдается некоторое улучшение, что может быть связано с ростом числа автотранспорта.
Железнодорожный транспорт:
Железнодорожный транспорт, несмотря на его меньшую долю по сравнению с остальными видами, показывает стабильный рост. В 2000 году его доля была 0,1%, а в 2024 году она увеличилась до 0,7%.
Водный и воздушный транспорт:
Водный и воздушный транспорт занимают минимальные доли в общей структуре, с 3% для водного в 2000 году и 0,1% для воздушного. Эти доли оставались относительно стабильными в течение всех лет, что свидетельствует о том, что данные виды транспорта играют ограниченную роль в перевозках пассажиров.
Общий тренд:
В целом, на диаграмме прослеживается тенденция к снижение доли городского электрического транспорта и повышению доли автомобильного транспорта. Железнодорожный транспорт также демонстрирует рост, но его доля остаётся незначительной.</t>
  </si>
  <si>
    <t>Период 2000-2004 годы:
Этот период занимает самую большую долю на диаграмме, составляя 34,9%. Это говорит о том, что для большинства данных (медиана) именно этот временной интервал показывает центральное значение для исследуемых данных.
Период 2005-2009 годы:
Следующий по величине сегмент — 20,7%. Это указывает на то, что данные для этого периода также имеют значительное влияние на медиану.
Период 2010-2014 годы:
Этот временной интервал составляет 17,5% от медианного значения, что показывает стабильность данных в этот период, но в меньшей степени, чем в 2000-2004.
Период 2015-2019 годы:
Этот период занимает 15,1%, что свидетельствует о некоторых изменениях в структуре перевозок, но с меньшим влиянием на медиану, чем более ранние периоды.
Период 2020-2024 годы:
Самая маленькая доля в 11,8%. Это может означать, что в последние годы перевозки пассажиров значительно изменились, и медианное значение для этого периода ниже, чем для предыдущих.
Резюме:
Основное влияние на медианное значение имеют периоды 2000-2004 и 2005-2009, в то время как последние годы (2020-2024) показывают наименьшее значение в контексте медианы, что может указывать на значительные изменения в структуре перевозок пассажиров в последние годы.</t>
  </si>
  <si>
    <t>Период 2000-2004 года:
Этот период демонстрирует самое высокое среднее значение объема перевозок пассажиров, значительно превышая остальные. Это может свидетельствовать о высоком уровне перевозок в начале 2000-х, возможно, связано с экономическим ростом и увеличением спроса на пассажирские перевозки.
Период 2005-2009 года:
Средний объем перевозок немного снижается по сравнению с предыдущим периодом, но остается на высоком уровне. Это может быть связано с дальнейшим экономическим ростом, улучшением инфраструктуры и ростом населения, что способствовало повышению спроса на транспортные услуги.
Период 2010-2014 года:
Средний объем перевозок продолжает оставаться стабильным, но наблюдается небольшое снижение по сравнению с предыдущими периодами. Это может быть связано с более медленным экономическим ростом в период после мирового финансового кризиса 2008 года.
Период 2015-2019 года:
Средний объем перевозок продолжает снижаться, что может быть результатом экономической нестабильности, инфляции или изменения предпочтений населения в пользу других видов транспорта (например, автомобилей или авиаперевозок). Возможно, также снизился уровень жизни или покупательная способность, что могло повлиять на использование общественного транспорта.
Период 2020-2024 года:
Среднее значение объема перевозок значительно снижено, что может быть связано с последствиями пандемии COVID-19. Во время пандемии многие люди стали меньше пользоваться общественным транспортом из-за ограничений и карантинных мер. Это также могло повлиять на экономику, так как транспортные компании могли уменьшить количество рейсов или услуги из-за сниженного спроса.</t>
  </si>
  <si>
    <t>Предположения о причинах изменений:
Экономический рост и кризисы: На начальном этапе 2000-х был значительный рост экономики, что способствовало увеличению перевозок. Затем экономические кризисы и нестабильность, особенно в период с 2015 по 2019 год, могли снизить спрос.
Пандемия COVID-19: Период с 2020 по 2024 год, вероятно, столкнулся с резким снижением объема перевозок из-за ограничений на передвижение, что также объясняет снижение средних показателей.
Снижение популярности общественного транспорта: В последние годы наблюдается тенденция увеличения использования личного транспорта (автомобили) и авиаперевозок, что также может объяснить снижение объемов перевозок пассажиров общественным транспортом.</t>
  </si>
  <si>
    <t>Структура перевозок пассажиров по видам транспорта по Российской Федерации</t>
  </si>
  <si>
    <t>водный</t>
  </si>
  <si>
    <t>городской электрический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</si>
</sst>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8">
    <font>
      <sz val="10.0"/>
      <color rgb="FF000000"/>
      <name val="Arial"/>
      <scheme val="minor"/>
    </font>
    <font>
      <sz val="11.0"/>
      <color theme="1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Times New Roman"/>
    </font>
    <font>
      <b/>
      <sz val="14.0"/>
      <color rgb="FF000000"/>
      <name val="Times New Roman"/>
    </font>
    <font>
      <sz val="11.0"/>
      <color theme="1"/>
      <name val="Calibri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FF0000"/>
      <name val="Times New Roman"/>
    </font>
    <font>
      <color theme="1"/>
      <name val="Arial"/>
      <scheme val="minor"/>
    </font>
    <font>
      <sz val="12.0"/>
      <color rgb="FF000000"/>
      <name val="Consolas"/>
    </font>
    <font>
      <u/>
      <sz val="11.0"/>
      <color theme="10"/>
      <name val="Times New Roman"/>
    </font>
    <font>
      <b/>
      <sz val="11.0"/>
      <color theme="1"/>
      <name val="Times New Roman"/>
    </font>
    <font>
      <b/>
      <sz val="11.0"/>
      <color rgb="FF000000"/>
      <name val="Times New Roman"/>
    </font>
    <font>
      <u/>
      <sz val="11.0"/>
      <color rgb="FF0000FF"/>
      <name val="Times New Roman"/>
    </font>
    <font>
      <b/>
      <sz val="14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2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0" fillId="0" fontId="6" numFmtId="0" xfId="0" applyFont="1"/>
    <xf borderId="2" fillId="2" fontId="4" numFmtId="0" xfId="0" applyBorder="1" applyFill="1" applyFont="1"/>
    <xf borderId="2" fillId="2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 shrinkToFit="0" wrapText="1"/>
    </xf>
    <xf borderId="3" fillId="0" fontId="4" numFmtId="0" xfId="0" applyBorder="1" applyFont="1"/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Border="1" applyFont="1"/>
    <xf borderId="5" fillId="0" fontId="6" numFmtId="0" xfId="0" applyBorder="1" applyFont="1"/>
    <xf borderId="7" fillId="0" fontId="6" numFmtId="0" xfId="0" applyBorder="1" applyFont="1"/>
    <xf borderId="8" fillId="0" fontId="7" numFmtId="0" xfId="0" applyBorder="1" applyFont="1"/>
    <xf borderId="9" fillId="0" fontId="8" numFmtId="164" xfId="0" applyBorder="1" applyFont="1" applyNumberFormat="1"/>
    <xf borderId="10" fillId="0" fontId="8" numFmtId="164" xfId="0" applyBorder="1" applyFont="1" applyNumberFormat="1"/>
    <xf borderId="11" fillId="0" fontId="8" numFmtId="164" xfId="0" applyBorder="1" applyFont="1" applyNumberFormat="1"/>
    <xf borderId="0" fillId="0" fontId="8" numFmtId="164" xfId="0" applyFont="1" applyNumberFormat="1"/>
    <xf borderId="12" fillId="0" fontId="4" numFmtId="0" xfId="0" applyAlignment="1" applyBorder="1" applyFont="1">
      <alignment horizontal="left"/>
    </xf>
    <xf borderId="13" fillId="0" fontId="3" numFmtId="0" xfId="0" applyBorder="1" applyFont="1"/>
    <xf borderId="14" fillId="0" fontId="3" numFmtId="0" xfId="0" applyBorder="1" applyFont="1"/>
    <xf borderId="14" fillId="0" fontId="6" numFmtId="0" xfId="0" applyBorder="1" applyFont="1"/>
    <xf borderId="14" fillId="0" fontId="9" numFmtId="0" xfId="0" applyBorder="1" applyFont="1"/>
    <xf borderId="15" fillId="0" fontId="6" numFmtId="0" xfId="0" applyBorder="1" applyFont="1"/>
    <xf borderId="8" fillId="0" fontId="4" numFmtId="0" xfId="0" applyAlignment="1" applyBorder="1" applyFont="1">
      <alignment horizontal="left"/>
    </xf>
    <xf borderId="13" fillId="0" fontId="9" numFmtId="164" xfId="0" applyBorder="1" applyFont="1" applyNumberFormat="1"/>
    <xf borderId="14" fillId="0" fontId="9" numFmtId="164" xfId="0" applyBorder="1" applyFont="1" applyNumberFormat="1"/>
    <xf borderId="15" fillId="0" fontId="9" numFmtId="164" xfId="0" applyBorder="1" applyFont="1" applyNumberFormat="1"/>
    <xf borderId="13" fillId="0" fontId="9" numFmtId="164" xfId="0" applyAlignment="1" applyBorder="1" applyFont="1" applyNumberFormat="1">
      <alignment horizontal="right"/>
    </xf>
    <xf borderId="14" fillId="0" fontId="9" numFmtId="164" xfId="0" applyAlignment="1" applyBorder="1" applyFont="1" applyNumberFormat="1">
      <alignment horizontal="right"/>
    </xf>
    <xf borderId="15" fillId="0" fontId="9" numFmtId="164" xfId="0" applyAlignment="1" applyBorder="1" applyFont="1" applyNumberFormat="1">
      <alignment horizontal="right"/>
    </xf>
    <xf borderId="16" fillId="0" fontId="4" numFmtId="0" xfId="0" applyAlignment="1" applyBorder="1" applyFont="1">
      <alignment horizontal="left"/>
    </xf>
    <xf borderId="17" fillId="0" fontId="9" numFmtId="164" xfId="0" applyAlignment="1" applyBorder="1" applyFont="1" applyNumberFormat="1">
      <alignment horizontal="right"/>
    </xf>
    <xf borderId="18" fillId="0" fontId="9" numFmtId="164" xfId="0" applyAlignment="1" applyBorder="1" applyFont="1" applyNumberFormat="1">
      <alignment horizontal="right"/>
    </xf>
    <xf borderId="19" fillId="0" fontId="9" numFmtId="164" xfId="0" applyAlignment="1" applyBorder="1" applyFont="1" applyNumberFormat="1">
      <alignment horizontal="right"/>
    </xf>
    <xf borderId="0" fillId="0" fontId="9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6" numFmtId="3" xfId="0" applyFont="1" applyNumberFormat="1"/>
    <xf borderId="0" fillId="0" fontId="6" numFmtId="165" xfId="0" applyFont="1" applyNumberFormat="1"/>
    <xf borderId="0" fillId="0" fontId="10" numFmtId="0" xfId="0" applyFont="1"/>
    <xf borderId="0" fillId="0" fontId="4" numFmtId="164" xfId="0" applyFont="1" applyNumberFormat="1"/>
    <xf borderId="0" fillId="0" fontId="7" numFmtId="0" xfId="0" applyFont="1"/>
    <xf borderId="0" fillId="0" fontId="7" numFmtId="164" xfId="0" applyFont="1" applyNumberFormat="1"/>
    <xf borderId="0" fillId="0" fontId="9" numFmtId="164" xfId="0" applyFont="1" applyNumberFormat="1"/>
    <xf borderId="0" fillId="0" fontId="11" numFmtId="164" xfId="0" applyFont="1" applyNumberFormat="1"/>
    <xf borderId="0" fillId="0" fontId="11" numFmtId="0" xfId="0" applyFont="1"/>
    <xf borderId="0" fillId="0" fontId="4" numFmtId="0" xfId="0" applyAlignment="1" applyFont="1">
      <alignment readingOrder="0"/>
    </xf>
    <xf borderId="0" fillId="3" fontId="12" numFmtId="0" xfId="0" applyAlignment="1" applyFill="1" applyFont="1">
      <alignment readingOrder="0"/>
    </xf>
    <xf borderId="0" fillId="0" fontId="9" numFmtId="164" xfId="0" applyAlignment="1" applyFont="1" applyNumberFormat="1">
      <alignment readingOrder="0" shrinkToFit="0" wrapText="1"/>
    </xf>
    <xf borderId="12" fillId="0" fontId="4" numFmtId="0" xfId="0" applyAlignment="1" applyBorder="1" applyFont="1">
      <alignment horizontal="left" readingOrder="0"/>
    </xf>
    <xf borderId="8" fillId="0" fontId="4" numFmtId="0" xfId="0" applyAlignment="1" applyBorder="1" applyFont="1">
      <alignment horizontal="left" readingOrder="0"/>
    </xf>
    <xf borderId="16" fillId="0" fontId="4" numFmtId="0" xfId="0" applyAlignment="1" applyBorder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vertical="center"/>
    </xf>
    <xf borderId="2" fillId="0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center" vertical="center"/>
    </xf>
    <xf borderId="21" fillId="0" fontId="14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23" fillId="0" fontId="3" numFmtId="0" xfId="0" applyBorder="1" applyFont="1"/>
    <xf borderId="6" fillId="0" fontId="14" numFmtId="0" xfId="0" applyAlignment="1" applyBorder="1" applyFont="1">
      <alignment horizontal="center"/>
    </xf>
    <xf borderId="23" fillId="0" fontId="14" numFmtId="0" xfId="0" applyAlignment="1" applyBorder="1" applyFont="1">
      <alignment horizontal="center"/>
    </xf>
    <xf borderId="6" fillId="0" fontId="14" numFmtId="0" xfId="0" applyAlignment="1" applyBorder="1" applyFont="1">
      <alignment horizontal="center" vertical="center"/>
    </xf>
    <xf borderId="23" fillId="0" fontId="14" numFmtId="0" xfId="0" applyAlignment="1" applyBorder="1" applyFont="1">
      <alignment horizontal="center" vertical="center"/>
    </xf>
    <xf borderId="8" fillId="0" fontId="15" numFmtId="0" xfId="0" applyBorder="1" applyFont="1"/>
    <xf borderId="14" fillId="0" fontId="14" numFmtId="165" xfId="0" applyBorder="1" applyFont="1" applyNumberFormat="1"/>
    <xf borderId="8" fillId="0" fontId="14" numFmtId="165" xfId="0" applyBorder="1" applyFont="1" applyNumberFormat="1"/>
    <xf borderId="8" fillId="0" fontId="2" numFmtId="0" xfId="0" applyAlignment="1" applyBorder="1" applyFont="1">
      <alignment horizontal="left"/>
    </xf>
    <xf borderId="8" fillId="0" fontId="3" numFmtId="0" xfId="0" applyBorder="1" applyFont="1"/>
    <xf borderId="8" fillId="0" fontId="3" numFmtId="0" xfId="0" applyAlignment="1" applyBorder="1" applyFont="1">
      <alignment horizontal="left"/>
    </xf>
    <xf borderId="14" fillId="0" fontId="3" numFmtId="165" xfId="0" applyBorder="1" applyFont="1" applyNumberFormat="1"/>
    <xf borderId="8" fillId="0" fontId="3" numFmtId="165" xfId="0" applyBorder="1" applyFont="1" applyNumberFormat="1"/>
    <xf borderId="14" fillId="0" fontId="3" numFmtId="2" xfId="0" applyBorder="1" applyFont="1" applyNumberFormat="1"/>
    <xf borderId="8" fillId="0" fontId="3" numFmtId="2" xfId="0" applyBorder="1" applyFont="1" applyNumberFormat="1"/>
    <xf borderId="13" fillId="0" fontId="3" numFmtId="2" xfId="0" applyBorder="1" applyFont="1" applyNumberFormat="1"/>
    <xf borderId="15" fillId="0" fontId="3" numFmtId="2" xfId="0" applyBorder="1" applyFont="1" applyNumberFormat="1"/>
    <xf borderId="13" fillId="0" fontId="3" numFmtId="165" xfId="0" applyBorder="1" applyFont="1" applyNumberFormat="1"/>
    <xf borderId="15" fillId="0" fontId="3" numFmtId="165" xfId="0" applyBorder="1" applyFont="1" applyNumberFormat="1"/>
    <xf borderId="15" fillId="0" fontId="3" numFmtId="0" xfId="0" applyBorder="1" applyFont="1"/>
    <xf borderId="24" fillId="0" fontId="3" numFmtId="0" xfId="0" applyAlignment="1" applyBorder="1" applyFont="1">
      <alignment horizontal="left"/>
    </xf>
    <xf borderId="18" fillId="0" fontId="3" numFmtId="165" xfId="0" applyBorder="1" applyFont="1" applyNumberFormat="1"/>
    <xf borderId="24" fillId="0" fontId="3" numFmtId="165" xfId="0" applyBorder="1" applyFont="1" applyNumberFormat="1"/>
    <xf borderId="17" fillId="0" fontId="3" numFmtId="165" xfId="0" applyBorder="1" applyFont="1" applyNumberFormat="1"/>
    <xf borderId="24" fillId="0" fontId="3" numFmtId="0" xfId="0" applyBorder="1" applyFont="1"/>
    <xf borderId="19" fillId="0" fontId="3" numFmtId="0" xfId="0" applyBorder="1" applyFont="1"/>
    <xf borderId="19" fillId="0" fontId="3" numFmtId="165" xfId="0" applyBorder="1" applyFont="1" applyNumberFormat="1"/>
    <xf borderId="0" fillId="0" fontId="14" numFmtId="0" xfId="0" applyFont="1"/>
    <xf borderId="0" fillId="0" fontId="14" numFmtId="165" xfId="0" applyFont="1" applyNumberFormat="1"/>
    <xf borderId="0" fillId="0" fontId="6" numFmtId="2" xfId="0" applyFont="1" applyNumberFormat="1"/>
    <xf borderId="0" fillId="0" fontId="14" numFmtId="2" xfId="0" applyFont="1" applyNumberFormat="1"/>
    <xf borderId="0" fillId="0" fontId="1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0" fontId="6" numFmtId="0" xfId="0" applyAlignment="1" applyBorder="1" applyFont="1">
      <alignment vertical="bottom"/>
    </xf>
    <xf borderId="2" fillId="2" fontId="6" numFmtId="0" xfId="0" applyBorder="1" applyFont="1"/>
    <xf borderId="2" fillId="2" fontId="9" numFmtId="0" xfId="0" applyAlignment="1" applyBorder="1" applyFont="1">
      <alignment horizontal="center"/>
    </xf>
    <xf borderId="3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25" fillId="0" fontId="6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9" fillId="0" fontId="8" numFmtId="164" xfId="0" applyAlignment="1" applyBorder="1" applyFont="1" applyNumberFormat="1">
      <alignment horizontal="right" vertical="bottom"/>
    </xf>
    <xf borderId="10" fillId="0" fontId="8" numFmtId="164" xfId="0" applyAlignment="1" applyBorder="1" applyFont="1" applyNumberFormat="1">
      <alignment horizontal="right" vertical="bottom"/>
    </xf>
    <xf borderId="11" fillId="0" fontId="8" numFmtId="164" xfId="0" applyAlignment="1" applyBorder="1" applyFont="1" applyNumberFormat="1">
      <alignment horizontal="right" vertical="bottom"/>
    </xf>
    <xf borderId="12" fillId="0" fontId="9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4" fillId="0" fontId="6" numFmtId="164" xfId="0" applyAlignment="1" applyBorder="1" applyFont="1" applyNumberFormat="1">
      <alignment vertical="bottom"/>
    </xf>
    <xf borderId="15" fillId="0" fontId="6" numFmtId="164" xfId="0" applyAlignment="1" applyBorder="1" applyFont="1" applyNumberFormat="1">
      <alignment vertical="bottom"/>
    </xf>
    <xf borderId="8" fillId="0" fontId="9" numFmtId="0" xfId="0" applyAlignment="1" applyBorder="1" applyFont="1">
      <alignment vertical="bottom"/>
    </xf>
    <xf borderId="13" fillId="0" fontId="9" numFmtId="164" xfId="0" applyAlignment="1" applyBorder="1" applyFont="1" applyNumberFormat="1">
      <alignment horizontal="right" vertical="bottom"/>
    </xf>
    <xf borderId="14" fillId="0" fontId="9" numFmtId="164" xfId="0" applyAlignment="1" applyBorder="1" applyFont="1" applyNumberFormat="1">
      <alignment horizontal="right" vertical="bottom"/>
    </xf>
    <xf borderId="15" fillId="0" fontId="9" numFmtId="164" xfId="0" applyAlignment="1" applyBorder="1" applyFont="1" applyNumberFormat="1">
      <alignment horizontal="right" vertical="bottom"/>
    </xf>
    <xf borderId="12" fillId="0" fontId="9" numFmtId="0" xfId="0" applyAlignment="1" applyBorder="1" applyFont="1">
      <alignment shrinkToFit="0" vertical="bottom" wrapText="1"/>
    </xf>
    <xf borderId="16" fillId="0" fontId="9" numFmtId="0" xfId="0" applyAlignment="1" applyBorder="1" applyFont="1">
      <alignment vertical="bottom"/>
    </xf>
    <xf borderId="17" fillId="0" fontId="9" numFmtId="164" xfId="0" applyAlignment="1" applyBorder="1" applyFont="1" applyNumberFormat="1">
      <alignment horizontal="right" vertical="bottom"/>
    </xf>
    <xf borderId="18" fillId="0" fontId="9" numFmtId="164" xfId="0" applyAlignment="1" applyBorder="1" applyFont="1" applyNumberFormat="1">
      <alignment horizontal="right" vertical="bottom"/>
    </xf>
    <xf borderId="19" fillId="0" fontId="9" numFmtId="164" xfId="0" applyAlignment="1" applyBorder="1" applyFont="1" applyNumberFormat="1">
      <alignment horizontal="right" vertical="bottom"/>
    </xf>
    <xf borderId="0" fillId="0" fontId="11" numFmtId="0" xfId="0" applyFont="1"/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2" fillId="0" fontId="6" numFmtId="0" xfId="0" applyBorder="1" applyFont="1"/>
    <xf borderId="2" fillId="0" fontId="14" numFmtId="0" xfId="0" applyAlignment="1" applyBorder="1" applyFont="1">
      <alignment horizontal="center"/>
    </xf>
    <xf borderId="20" fillId="0" fontId="14" numFmtId="0" xfId="0" applyAlignment="1" applyBorder="1" applyFont="1">
      <alignment horizontal="center"/>
    </xf>
    <xf borderId="21" fillId="0" fontId="14" numFmtId="0" xfId="0" applyAlignment="1" applyBorder="1" applyFont="1">
      <alignment horizontal="center"/>
    </xf>
    <xf borderId="22" fillId="0" fontId="14" numFmtId="0" xfId="0" applyAlignment="1" applyBorder="1" applyFont="1">
      <alignment horizontal="center"/>
    </xf>
    <xf borderId="5" fillId="0" fontId="6" numFmtId="0" xfId="0" applyBorder="1" applyFont="1"/>
    <xf borderId="3" fillId="0" fontId="6" numFmtId="0" xfId="0" applyBorder="1" applyFont="1"/>
    <xf borderId="7" fillId="0" fontId="6" numFmtId="0" xfId="0" applyBorder="1" applyFont="1"/>
    <xf borderId="26" fillId="0" fontId="14" numFmtId="0" xfId="0" applyAlignment="1" applyBorder="1" applyFont="1">
      <alignment vertical="bottom"/>
    </xf>
    <xf borderId="10" fillId="0" fontId="14" numFmtId="165" xfId="0" applyAlignment="1" applyBorder="1" applyFont="1" applyNumberFormat="1">
      <alignment horizontal="right" vertical="bottom"/>
    </xf>
    <xf borderId="26" fillId="0" fontId="14" numFmtId="165" xfId="0" applyAlignment="1" applyBorder="1" applyFont="1" applyNumberFormat="1">
      <alignment horizontal="right" vertical="bottom"/>
    </xf>
    <xf borderId="11" fillId="0" fontId="14" numFmtId="165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14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14" fillId="0" fontId="3" numFmtId="165" xfId="0" applyAlignment="1" applyBorder="1" applyFont="1" applyNumberFormat="1">
      <alignment horizontal="right" vertical="bottom"/>
    </xf>
    <xf borderId="8" fillId="0" fontId="3" numFmtId="165" xfId="0" applyAlignment="1" applyBorder="1" applyFont="1" applyNumberFormat="1">
      <alignment horizontal="right" vertical="bottom"/>
    </xf>
    <xf borderId="15" fillId="0" fontId="3" numFmtId="165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right" vertical="bottom"/>
    </xf>
    <xf borderId="15" fillId="0" fontId="3" numFmtId="0" xfId="0" applyAlignment="1" applyBorder="1" applyFont="1">
      <alignment horizontal="right" vertical="bottom"/>
    </xf>
    <xf borderId="24" fillId="0" fontId="3" numFmtId="0" xfId="0" applyAlignment="1" applyBorder="1" applyFont="1">
      <alignment vertical="bottom"/>
    </xf>
    <xf borderId="18" fillId="0" fontId="3" numFmtId="165" xfId="0" applyAlignment="1" applyBorder="1" applyFont="1" applyNumberFormat="1">
      <alignment horizontal="right" vertical="bottom"/>
    </xf>
    <xf borderId="24" fillId="0" fontId="3" numFmtId="165" xfId="0" applyAlignment="1" applyBorder="1" applyFont="1" applyNumberFormat="1">
      <alignment horizontal="right" vertical="bottom"/>
    </xf>
    <xf borderId="24" fillId="0" fontId="3" numFmtId="0" xfId="0" applyAlignment="1" applyBorder="1" applyFont="1">
      <alignment horizontal="right" vertical="bottom"/>
    </xf>
    <xf borderId="19" fillId="0" fontId="3" numFmtId="0" xfId="0" applyAlignment="1" applyBorder="1" applyFont="1">
      <alignment horizontal="right" vertical="bottom"/>
    </xf>
    <xf borderId="19" fillId="0" fontId="3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Центральное значение среди данных перевозок грузов/ Медиана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'1'!$A$28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'1'!$B$26:$G$26</c:f>
            </c:strRef>
          </c:cat>
          <c:val>
            <c:numRef>
              <c:f>'1'!$B$28:$G$28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Среднее значение объема перевозок грузов в РФ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'1'!$A$27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'1'!$B$26:$F$26</c:f>
            </c:strRef>
          </c:cat>
          <c:val>
            <c:numRef>
              <c:f>'1'!$B$27:$F$27</c:f>
              <c:numCache/>
            </c:numRef>
          </c:val>
        </c:ser>
        <c:axId val="957950229"/>
        <c:axId val="1145844614"/>
      </c:barChart>
      <c:catAx>
        <c:axId val="957950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844614"/>
      </c:catAx>
      <c:valAx>
        <c:axId val="1145844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Среднее значение объема перевозок (итого)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950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Центральное значение среди данных перевозки пассажиров / Медиана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'3'!$A$28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'3'!$B$26:$F$26</c:f>
            </c:strRef>
          </c:cat>
          <c:val>
            <c:numRef>
              <c:f>'3'!$B$28:$F$28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Среднее значение объема перевозок пассажиров в РФ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'3'!$A$27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'3'!$B$26:$F$26</c:f>
            </c:strRef>
          </c:cat>
          <c:val>
            <c:numRef>
              <c:f>'3'!$B$27:$F$27</c:f>
              <c:numCache/>
            </c:numRef>
          </c:val>
        </c:ser>
        <c:axId val="2081369896"/>
        <c:axId val="1174671614"/>
      </c:barChart>
      <c:catAx>
        <c:axId val="2081369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671614"/>
      </c:catAx>
      <c:valAx>
        <c:axId val="1174671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Среднее значение объема перевозок (итого)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369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48</xdr:row>
      <xdr:rowOff>0</xdr:rowOff>
    </xdr:from>
    <xdr:ext cx="11820525" cy="6429375"/>
    <xdr:pic>
      <xdr:nvPicPr>
        <xdr:cNvPr id="559355146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84</xdr:row>
      <xdr:rowOff>57150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466725</xdr:colOff>
      <xdr:row>105</xdr:row>
      <xdr:rowOff>38100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46</xdr:row>
      <xdr:rowOff>104775</xdr:rowOff>
    </xdr:from>
    <xdr:ext cx="12325350" cy="5924550"/>
    <xdr:pic>
      <xdr:nvPicPr>
        <xdr:cNvPr id="683135380" name="Chart4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82</xdr:row>
      <xdr:rowOff>57150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542925</xdr:colOff>
      <xdr:row>104</xdr:row>
      <xdr:rowOff>0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26.88"/>
    <col customWidth="1" min="2" max="2" width="11.5"/>
    <col customWidth="1" min="3" max="3" width="12.0"/>
    <col customWidth="1" min="4" max="4" width="12.38"/>
    <col customWidth="1" min="5" max="5" width="14.0"/>
    <col customWidth="1" min="6" max="6" width="12.63"/>
    <col customWidth="1" min="7" max="31" width="8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4"/>
      <c r="T1" s="4"/>
      <c r="U1" s="4"/>
      <c r="V1" s="4"/>
      <c r="W1" s="3"/>
      <c r="X1" s="3"/>
      <c r="Y1" s="3"/>
      <c r="Z1" s="3"/>
      <c r="AA1" s="3"/>
      <c r="AB1" s="3"/>
      <c r="AC1" s="3"/>
      <c r="AD1" s="3"/>
      <c r="AE1" s="3"/>
    </row>
    <row r="2" ht="19.5" customHeight="1">
      <c r="A2" s="2"/>
      <c r="B2" s="5" t="s">
        <v>0</v>
      </c>
      <c r="AA2" s="5"/>
      <c r="AB2" s="5"/>
      <c r="AC2" s="5"/>
      <c r="AD2" s="5"/>
      <c r="AE2" s="5"/>
    </row>
    <row r="3" ht="15.0" customHeight="1">
      <c r="A3" s="2"/>
      <c r="B3" s="6" t="s">
        <v>1</v>
      </c>
      <c r="AA3" s="6"/>
      <c r="AB3" s="6"/>
      <c r="AC3" s="6"/>
      <c r="AD3" s="6"/>
      <c r="AE3" s="6"/>
    </row>
    <row r="4" ht="15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  <c r="AA4" s="8"/>
      <c r="AB4" s="8"/>
      <c r="AC4" s="8"/>
      <c r="AD4" s="8"/>
      <c r="AE4" s="8"/>
    </row>
    <row r="5">
      <c r="A5" s="9"/>
      <c r="B5" s="10">
        <v>2000.0</v>
      </c>
      <c r="C5" s="10">
        <v>2001.0</v>
      </c>
      <c r="D5" s="10">
        <v>2002.0</v>
      </c>
      <c r="E5" s="10">
        <v>2003.0</v>
      </c>
      <c r="F5" s="10">
        <v>2004.0</v>
      </c>
      <c r="G5" s="10">
        <v>2005.0</v>
      </c>
      <c r="H5" s="10">
        <v>2006.0</v>
      </c>
      <c r="I5" s="10">
        <v>2007.0</v>
      </c>
      <c r="J5" s="10">
        <v>2008.0</v>
      </c>
      <c r="K5" s="10">
        <v>2009.0</v>
      </c>
      <c r="L5" s="10">
        <v>2010.0</v>
      </c>
      <c r="M5" s="10">
        <v>2011.0</v>
      </c>
      <c r="N5" s="10">
        <v>2012.0</v>
      </c>
      <c r="O5" s="10">
        <v>2013.0</v>
      </c>
      <c r="P5" s="10">
        <v>2014.0</v>
      </c>
      <c r="Q5" s="10">
        <v>2015.0</v>
      </c>
      <c r="R5" s="10">
        <v>2016.0</v>
      </c>
      <c r="S5" s="10">
        <v>2017.0</v>
      </c>
      <c r="T5" s="10">
        <v>2018.0</v>
      </c>
      <c r="U5" s="10">
        <v>2019.0</v>
      </c>
      <c r="V5" s="10">
        <v>2020.0</v>
      </c>
      <c r="W5" s="10">
        <v>2021.0</v>
      </c>
      <c r="X5" s="11">
        <v>2022.0</v>
      </c>
      <c r="Y5" s="11">
        <v>2023.0</v>
      </c>
      <c r="Z5" s="11">
        <v>2024.0</v>
      </c>
      <c r="AA5" s="12"/>
      <c r="AB5" s="11"/>
      <c r="AC5" s="12"/>
      <c r="AD5" s="12"/>
      <c r="AE5" s="12"/>
    </row>
    <row r="6" ht="15.0" customHeight="1">
      <c r="A6" s="13"/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6"/>
      <c r="R6" s="16"/>
      <c r="S6" s="16"/>
      <c r="T6" s="16"/>
      <c r="U6" s="16"/>
      <c r="V6" s="16"/>
      <c r="W6" s="16"/>
      <c r="X6" s="16"/>
      <c r="Y6" s="17"/>
      <c r="Z6" s="18"/>
      <c r="AA6" s="8"/>
      <c r="AB6" s="18"/>
      <c r="AC6" s="8"/>
      <c r="AD6" s="8"/>
      <c r="AE6" s="8"/>
    </row>
    <row r="7" ht="19.5" customHeight="1">
      <c r="A7" s="19" t="s">
        <v>2</v>
      </c>
      <c r="B7" s="20">
        <v>7907.099999999999</v>
      </c>
      <c r="C7" s="21">
        <v>8200.4</v>
      </c>
      <c r="D7" s="21">
        <v>8487.599999999999</v>
      </c>
      <c r="E7" s="21">
        <v>8767.699999999999</v>
      </c>
      <c r="F7" s="21">
        <v>8978.2</v>
      </c>
      <c r="G7" s="21">
        <v>9167.1</v>
      </c>
      <c r="H7" s="21">
        <v>9300.7</v>
      </c>
      <c r="I7" s="21">
        <v>9450.6</v>
      </c>
      <c r="J7" s="21">
        <v>9451.1</v>
      </c>
      <c r="K7" s="21">
        <v>7469.4</v>
      </c>
      <c r="L7" s="21">
        <v>7750.4</v>
      </c>
      <c r="M7" s="21">
        <v>8337.1</v>
      </c>
      <c r="N7" s="21">
        <v>8519.3</v>
      </c>
      <c r="O7" s="21">
        <v>8264.5</v>
      </c>
      <c r="P7" s="21">
        <v>8006.5</v>
      </c>
      <c r="Q7" s="21">
        <v>7898.0</v>
      </c>
      <c r="R7" s="21">
        <v>7953.6</v>
      </c>
      <c r="S7" s="21">
        <v>8072.6</v>
      </c>
      <c r="T7" s="21">
        <v>8265.1</v>
      </c>
      <c r="U7" s="21">
        <v>8425.7</v>
      </c>
      <c r="V7" s="21">
        <v>7959.7</v>
      </c>
      <c r="W7" s="21">
        <v>8262.4</v>
      </c>
      <c r="X7" s="21">
        <v>8779.4</v>
      </c>
      <c r="Y7" s="21">
        <v>9059.3</v>
      </c>
      <c r="Z7" s="22">
        <v>9285.6</v>
      </c>
      <c r="AA7" s="23"/>
      <c r="AB7" s="22"/>
      <c r="AC7" s="23"/>
      <c r="AD7" s="23"/>
      <c r="AE7" s="23"/>
    </row>
    <row r="8" ht="15.0" customHeight="1">
      <c r="A8" s="24" t="s">
        <v>3</v>
      </c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27"/>
      <c r="R8" s="27"/>
      <c r="S8" s="28"/>
      <c r="T8" s="28"/>
      <c r="U8" s="28"/>
      <c r="V8" s="28"/>
      <c r="W8" s="27"/>
      <c r="X8" s="27"/>
      <c r="Y8" s="27"/>
      <c r="Z8" s="29"/>
      <c r="AA8" s="23"/>
      <c r="AB8" s="29"/>
      <c r="AC8" s="23"/>
      <c r="AD8" s="23"/>
      <c r="AE8" s="23"/>
    </row>
    <row r="9" ht="19.5" customHeight="1">
      <c r="A9" s="30" t="s">
        <v>4</v>
      </c>
      <c r="B9" s="31">
        <v>1046.8</v>
      </c>
      <c r="C9" s="32">
        <v>1057.5</v>
      </c>
      <c r="D9" s="32">
        <v>1083.7</v>
      </c>
      <c r="E9" s="32">
        <v>1160.9</v>
      </c>
      <c r="F9" s="32">
        <v>1221.2</v>
      </c>
      <c r="G9" s="32">
        <v>1273.3</v>
      </c>
      <c r="H9" s="32">
        <v>1311.6</v>
      </c>
      <c r="I9" s="32">
        <v>1344.6</v>
      </c>
      <c r="J9" s="32">
        <v>1304.4</v>
      </c>
      <c r="K9" s="32">
        <v>1108.8</v>
      </c>
      <c r="L9" s="32">
        <v>1312.0</v>
      </c>
      <c r="M9" s="32">
        <v>1381.7</v>
      </c>
      <c r="N9" s="32">
        <v>1421.1</v>
      </c>
      <c r="O9" s="32">
        <v>1381.2</v>
      </c>
      <c r="P9" s="32">
        <v>1375.4</v>
      </c>
      <c r="Q9" s="32">
        <v>1329.0</v>
      </c>
      <c r="R9" s="32">
        <v>1325.2</v>
      </c>
      <c r="S9" s="32">
        <v>1384.3</v>
      </c>
      <c r="T9" s="32">
        <v>1410.9</v>
      </c>
      <c r="U9" s="32">
        <v>1398.6</v>
      </c>
      <c r="V9" s="32">
        <v>1358.5</v>
      </c>
      <c r="W9" s="32">
        <v>1403.9</v>
      </c>
      <c r="X9" s="32">
        <v>1351.3</v>
      </c>
      <c r="Y9" s="32">
        <v>1365.2</v>
      </c>
      <c r="Z9" s="33">
        <v>1306.1</v>
      </c>
      <c r="AA9" s="23"/>
      <c r="AB9" s="33"/>
      <c r="AC9" s="23"/>
      <c r="AD9" s="23"/>
      <c r="AE9" s="23"/>
    </row>
    <row r="10" ht="19.5" customHeight="1">
      <c r="A10" s="24" t="s">
        <v>5</v>
      </c>
      <c r="B10" s="31">
        <v>5878.4</v>
      </c>
      <c r="C10" s="32">
        <v>6125.3</v>
      </c>
      <c r="D10" s="32">
        <v>6347.7</v>
      </c>
      <c r="E10" s="32">
        <v>6468.1</v>
      </c>
      <c r="F10" s="32">
        <v>6567.8</v>
      </c>
      <c r="G10" s="32">
        <v>6684.6</v>
      </c>
      <c r="H10" s="32">
        <v>6753.3</v>
      </c>
      <c r="I10" s="32">
        <v>6861.4</v>
      </c>
      <c r="J10" s="32">
        <v>6893.1</v>
      </c>
      <c r="K10" s="32">
        <v>5240.5</v>
      </c>
      <c r="L10" s="32">
        <v>5236.4</v>
      </c>
      <c r="M10" s="32">
        <v>5663.1</v>
      </c>
      <c r="N10" s="32">
        <v>5841.6</v>
      </c>
      <c r="O10" s="32">
        <v>5635.3</v>
      </c>
      <c r="P10" s="32">
        <v>5416.7</v>
      </c>
      <c r="Q10" s="32">
        <v>5356.7</v>
      </c>
      <c r="R10" s="32">
        <v>5396.8</v>
      </c>
      <c r="S10" s="32">
        <v>5403.9</v>
      </c>
      <c r="T10" s="32">
        <v>5544.4</v>
      </c>
      <c r="U10" s="32">
        <v>5735.3</v>
      </c>
      <c r="V10" s="32">
        <v>5404.7</v>
      </c>
      <c r="W10" s="32">
        <v>5581.7</v>
      </c>
      <c r="X10" s="32">
        <v>6210.6</v>
      </c>
      <c r="Y10" s="32">
        <v>6491.2</v>
      </c>
      <c r="Z10" s="33">
        <v>6775.9</v>
      </c>
      <c r="AA10" s="23"/>
      <c r="AB10" s="33"/>
      <c r="AC10" s="23"/>
      <c r="AD10" s="23"/>
      <c r="AE10" s="23"/>
    </row>
    <row r="11" ht="19.5" customHeight="1">
      <c r="A11" s="30" t="s">
        <v>6</v>
      </c>
      <c r="B11" s="31">
        <v>828.9</v>
      </c>
      <c r="C11" s="32">
        <v>853.4</v>
      </c>
      <c r="D11" s="32">
        <v>899.3</v>
      </c>
      <c r="E11" s="32">
        <v>976.4</v>
      </c>
      <c r="F11" s="32">
        <v>1024.2</v>
      </c>
      <c r="G11" s="32">
        <v>1048.1</v>
      </c>
      <c r="H11" s="32">
        <v>1070.3</v>
      </c>
      <c r="I11" s="32">
        <v>1062.1</v>
      </c>
      <c r="J11" s="32">
        <v>1066.6</v>
      </c>
      <c r="K11" s="32">
        <v>985.0</v>
      </c>
      <c r="L11" s="32">
        <v>1061.5</v>
      </c>
      <c r="M11" s="32">
        <v>1130.9</v>
      </c>
      <c r="N11" s="32">
        <v>1096.5</v>
      </c>
      <c r="O11" s="32">
        <v>1095.2</v>
      </c>
      <c r="P11" s="32">
        <v>1078.1</v>
      </c>
      <c r="Q11" s="32">
        <v>1071.0</v>
      </c>
      <c r="R11" s="32">
        <v>1088.0</v>
      </c>
      <c r="S11" s="32">
        <v>1138.2</v>
      </c>
      <c r="T11" s="32">
        <v>1169.3</v>
      </c>
      <c r="U11" s="32">
        <v>1159.2</v>
      </c>
      <c r="V11" s="32">
        <v>1061.4</v>
      </c>
      <c r="W11" s="32">
        <v>1141.4</v>
      </c>
      <c r="X11" s="32">
        <v>1072.8</v>
      </c>
      <c r="Y11" s="32">
        <v>1059.7</v>
      </c>
      <c r="Z11" s="33">
        <v>1065.7</v>
      </c>
      <c r="AA11" s="23"/>
      <c r="AB11" s="33"/>
      <c r="AC11" s="23"/>
      <c r="AD11" s="23"/>
      <c r="AE11" s="23"/>
    </row>
    <row r="12" ht="15.0" customHeight="1">
      <c r="A12" s="30" t="s">
        <v>3</v>
      </c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3"/>
      <c r="AA12" s="23"/>
      <c r="AB12" s="33"/>
      <c r="AC12" s="23"/>
      <c r="AD12" s="23"/>
      <c r="AE12" s="23"/>
    </row>
    <row r="13" ht="19.5" customHeight="1">
      <c r="A13" s="30" t="s">
        <v>7</v>
      </c>
      <c r="B13" s="34">
        <v>511.2</v>
      </c>
      <c r="C13" s="35">
        <v>508.8</v>
      </c>
      <c r="D13" s="35">
        <v>513.8</v>
      </c>
      <c r="E13" s="35">
        <v>544.5</v>
      </c>
      <c r="F13" s="35">
        <v>555.1</v>
      </c>
      <c r="G13" s="35">
        <v>565.8</v>
      </c>
      <c r="H13" s="35">
        <v>581.1</v>
      </c>
      <c r="I13" s="35">
        <v>571.6</v>
      </c>
      <c r="J13" s="35">
        <v>578.6</v>
      </c>
      <c r="K13" s="35">
        <v>480.0</v>
      </c>
      <c r="L13" s="35">
        <v>536.6</v>
      </c>
      <c r="M13" s="35">
        <v>555.1</v>
      </c>
      <c r="N13" s="35">
        <v>541.1</v>
      </c>
      <c r="O13" s="35">
        <v>537.5</v>
      </c>
      <c r="P13" s="35">
        <v>512.0</v>
      </c>
      <c r="Q13" s="35">
        <v>493.0</v>
      </c>
      <c r="R13" s="35">
        <v>509.4</v>
      </c>
      <c r="S13" s="35">
        <v>548.8</v>
      </c>
      <c r="T13" s="35">
        <v>566.4</v>
      </c>
      <c r="U13" s="35">
        <v>550.9</v>
      </c>
      <c r="V13" s="35">
        <v>511.6</v>
      </c>
      <c r="W13" s="35">
        <v>574.6</v>
      </c>
      <c r="X13" s="32">
        <v>484.3</v>
      </c>
      <c r="Y13" s="35" t="s">
        <v>8</v>
      </c>
      <c r="Z13" s="36" t="s">
        <v>8</v>
      </c>
      <c r="AA13" s="23"/>
      <c r="AB13" s="36"/>
      <c r="AC13" s="23"/>
      <c r="AD13" s="23"/>
      <c r="AE13" s="23"/>
    </row>
    <row r="14" ht="19.5" customHeight="1">
      <c r="A14" s="30" t="s">
        <v>9</v>
      </c>
      <c r="B14" s="34">
        <v>294.6</v>
      </c>
      <c r="C14" s="35">
        <v>319.7</v>
      </c>
      <c r="D14" s="35">
        <v>359.8</v>
      </c>
      <c r="E14" s="35">
        <v>404.3</v>
      </c>
      <c r="F14" s="35">
        <v>441.5</v>
      </c>
      <c r="G14" s="35">
        <v>454.1</v>
      </c>
      <c r="H14" s="35">
        <v>460.8</v>
      </c>
      <c r="I14" s="35">
        <v>461.8</v>
      </c>
      <c r="J14" s="35">
        <v>456.4</v>
      </c>
      <c r="K14" s="35">
        <v>474.4</v>
      </c>
      <c r="L14" s="35">
        <v>491.7</v>
      </c>
      <c r="M14" s="35">
        <v>543.8</v>
      </c>
      <c r="N14" s="35">
        <v>523.4</v>
      </c>
      <c r="O14" s="35">
        <v>524.6</v>
      </c>
      <c r="P14" s="35">
        <v>532.1</v>
      </c>
      <c r="Q14" s="35">
        <v>543.3</v>
      </c>
      <c r="R14" s="35">
        <v>543.4</v>
      </c>
      <c r="S14" s="35">
        <v>553.4</v>
      </c>
      <c r="T14" s="35">
        <v>561.1</v>
      </c>
      <c r="U14" s="35">
        <v>567.7</v>
      </c>
      <c r="V14" s="35">
        <v>509.5</v>
      </c>
      <c r="W14" s="35">
        <v>523.9</v>
      </c>
      <c r="X14" s="32">
        <v>544.4</v>
      </c>
      <c r="Y14" s="35" t="s">
        <v>8</v>
      </c>
      <c r="Z14" s="36" t="s">
        <v>8</v>
      </c>
      <c r="AA14" s="23"/>
      <c r="AB14" s="36"/>
      <c r="AC14" s="23"/>
      <c r="AD14" s="23"/>
      <c r="AE14" s="23"/>
    </row>
    <row r="15" ht="19.5" customHeight="1">
      <c r="A15" s="30" t="s">
        <v>10</v>
      </c>
      <c r="B15" s="34">
        <v>23.1</v>
      </c>
      <c r="C15" s="35">
        <v>24.9</v>
      </c>
      <c r="D15" s="35">
        <v>25.7</v>
      </c>
      <c r="E15" s="35">
        <v>27.6</v>
      </c>
      <c r="F15" s="35">
        <v>27.6</v>
      </c>
      <c r="G15" s="35">
        <v>28.2</v>
      </c>
      <c r="H15" s="35">
        <v>28.4</v>
      </c>
      <c r="I15" s="35">
        <v>28.7</v>
      </c>
      <c r="J15" s="35">
        <v>31.6</v>
      </c>
      <c r="K15" s="35">
        <v>30.6</v>
      </c>
      <c r="L15" s="35">
        <v>33.2</v>
      </c>
      <c r="M15" s="35">
        <v>32.0</v>
      </c>
      <c r="N15" s="35">
        <v>32.0</v>
      </c>
      <c r="O15" s="35">
        <v>33.1</v>
      </c>
      <c r="P15" s="35">
        <v>34.0</v>
      </c>
      <c r="Q15" s="35">
        <v>34.7</v>
      </c>
      <c r="R15" s="35">
        <v>35.2</v>
      </c>
      <c r="S15" s="35">
        <v>36.1</v>
      </c>
      <c r="T15" s="35">
        <v>41.8</v>
      </c>
      <c r="U15" s="35">
        <v>40.5</v>
      </c>
      <c r="V15" s="35">
        <v>40.4</v>
      </c>
      <c r="W15" s="35">
        <v>42.9</v>
      </c>
      <c r="X15" s="32">
        <v>44.1</v>
      </c>
      <c r="Y15" s="35" t="s">
        <v>8</v>
      </c>
      <c r="Z15" s="36" t="s">
        <v>8</v>
      </c>
      <c r="AA15" s="23"/>
      <c r="AB15" s="36"/>
      <c r="AC15" s="23"/>
      <c r="AD15" s="23"/>
      <c r="AE15" s="23"/>
    </row>
    <row r="16" ht="19.5" customHeight="1">
      <c r="A16" s="24" t="s">
        <v>11</v>
      </c>
      <c r="B16" s="31">
        <v>35.4</v>
      </c>
      <c r="C16" s="32">
        <v>33.8</v>
      </c>
      <c r="D16" s="32">
        <v>37.3</v>
      </c>
      <c r="E16" s="32">
        <v>35.7</v>
      </c>
      <c r="F16" s="32">
        <v>29.1</v>
      </c>
      <c r="G16" s="32">
        <v>26.0</v>
      </c>
      <c r="H16" s="32">
        <v>25.4</v>
      </c>
      <c r="I16" s="32">
        <v>28.1</v>
      </c>
      <c r="J16" s="32">
        <v>35.2</v>
      </c>
      <c r="K16" s="32">
        <v>37.4</v>
      </c>
      <c r="L16" s="32">
        <v>37.0</v>
      </c>
      <c r="M16" s="32">
        <v>34.0</v>
      </c>
      <c r="N16" s="32">
        <v>18.3</v>
      </c>
      <c r="O16" s="32">
        <v>16.7</v>
      </c>
      <c r="P16" s="32">
        <v>15.8</v>
      </c>
      <c r="Q16" s="32">
        <v>18.8</v>
      </c>
      <c r="R16" s="32">
        <v>24.6</v>
      </c>
      <c r="S16" s="32">
        <v>26.4</v>
      </c>
      <c r="T16" s="32">
        <v>23.2</v>
      </c>
      <c r="U16" s="32">
        <v>23.2</v>
      </c>
      <c r="V16" s="32">
        <v>24.7</v>
      </c>
      <c r="W16" s="32">
        <v>23.4</v>
      </c>
      <c r="X16" s="32">
        <v>27.6</v>
      </c>
      <c r="Y16" s="32">
        <v>33.2</v>
      </c>
      <c r="Z16" s="33">
        <v>31.9</v>
      </c>
      <c r="AA16" s="23"/>
      <c r="AB16" s="33"/>
      <c r="AC16" s="23"/>
      <c r="AD16" s="23"/>
      <c r="AE16" s="23"/>
    </row>
    <row r="17" ht="19.5" customHeight="1">
      <c r="A17" s="30" t="s">
        <v>12</v>
      </c>
      <c r="B17" s="34">
        <v>116.8</v>
      </c>
      <c r="C17" s="35">
        <v>129.5</v>
      </c>
      <c r="D17" s="35">
        <v>118.7</v>
      </c>
      <c r="E17" s="35">
        <v>125.8</v>
      </c>
      <c r="F17" s="35">
        <v>135.0</v>
      </c>
      <c r="G17" s="35">
        <v>134.2</v>
      </c>
      <c r="H17" s="35">
        <v>139.2</v>
      </c>
      <c r="I17" s="35">
        <v>153.4</v>
      </c>
      <c r="J17" s="35">
        <v>150.8</v>
      </c>
      <c r="K17" s="35">
        <v>96.9</v>
      </c>
      <c r="L17" s="35">
        <v>102.4</v>
      </c>
      <c r="M17" s="35">
        <v>126.2</v>
      </c>
      <c r="N17" s="35">
        <v>140.5</v>
      </c>
      <c r="O17" s="35">
        <v>134.9</v>
      </c>
      <c r="P17" s="35">
        <v>119.1</v>
      </c>
      <c r="Q17" s="35">
        <v>121.4</v>
      </c>
      <c r="R17" s="35">
        <v>118.0</v>
      </c>
      <c r="S17" s="35">
        <v>118.5</v>
      </c>
      <c r="T17" s="35">
        <v>116.2</v>
      </c>
      <c r="U17" s="35">
        <v>108.2</v>
      </c>
      <c r="V17" s="35">
        <v>109.0</v>
      </c>
      <c r="W17" s="35">
        <v>110.5</v>
      </c>
      <c r="X17" s="35">
        <v>116.4</v>
      </c>
      <c r="Y17" s="35">
        <v>109.3</v>
      </c>
      <c r="Z17" s="36">
        <v>105.4</v>
      </c>
      <c r="AA17" s="23"/>
      <c r="AB17" s="36"/>
      <c r="AC17" s="23"/>
      <c r="AD17" s="23"/>
      <c r="AE17" s="23"/>
    </row>
    <row r="18" ht="19.5" customHeight="1">
      <c r="A18" s="37" t="s">
        <v>13</v>
      </c>
      <c r="B18" s="38">
        <v>0.8</v>
      </c>
      <c r="C18" s="39">
        <v>0.9</v>
      </c>
      <c r="D18" s="39">
        <v>0.9</v>
      </c>
      <c r="E18" s="39">
        <v>0.8</v>
      </c>
      <c r="F18" s="39">
        <v>0.9</v>
      </c>
      <c r="G18" s="39">
        <v>0.8</v>
      </c>
      <c r="H18" s="39">
        <v>0.9</v>
      </c>
      <c r="I18" s="39">
        <v>1.0</v>
      </c>
      <c r="J18" s="39">
        <v>1.0</v>
      </c>
      <c r="K18" s="39">
        <v>0.9</v>
      </c>
      <c r="L18" s="39">
        <v>1.1</v>
      </c>
      <c r="M18" s="39">
        <v>1.2</v>
      </c>
      <c r="N18" s="39">
        <v>1.2</v>
      </c>
      <c r="O18" s="39">
        <v>1.2</v>
      </c>
      <c r="P18" s="39">
        <v>1.3</v>
      </c>
      <c r="Q18" s="39">
        <v>1.0</v>
      </c>
      <c r="R18" s="39">
        <v>1.1</v>
      </c>
      <c r="S18" s="39">
        <v>1.3</v>
      </c>
      <c r="T18" s="39">
        <v>1.3</v>
      </c>
      <c r="U18" s="39">
        <v>1.3</v>
      </c>
      <c r="V18" s="39">
        <v>1.3</v>
      </c>
      <c r="W18" s="39">
        <v>1.6</v>
      </c>
      <c r="X18" s="39">
        <v>0.7</v>
      </c>
      <c r="Y18" s="39">
        <v>0.6</v>
      </c>
      <c r="Z18" s="40">
        <v>0.6</v>
      </c>
      <c r="AA18" s="23"/>
      <c r="AB18" s="40"/>
      <c r="AC18" s="23"/>
      <c r="AD18" s="23"/>
      <c r="AE18" s="23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S19" s="4"/>
      <c r="T19" s="4"/>
      <c r="U19" s="4"/>
      <c r="V19" s="4"/>
    </row>
    <row r="20">
      <c r="A20" s="41" t="s">
        <v>14</v>
      </c>
      <c r="U20" s="4"/>
      <c r="V20" s="4"/>
    </row>
    <row r="21">
      <c r="A21" s="42" t="s">
        <v>15</v>
      </c>
      <c r="S21" s="4"/>
      <c r="T21" s="4"/>
      <c r="U21" s="4"/>
      <c r="V21" s="4"/>
      <c r="Y21" s="43"/>
    </row>
    <row r="22">
      <c r="A22" s="42" t="s">
        <v>16</v>
      </c>
      <c r="S22" s="4"/>
      <c r="T22" s="4"/>
      <c r="U22" s="4"/>
      <c r="V22" s="4"/>
      <c r="W22" s="44"/>
      <c r="X22" s="44"/>
      <c r="Y22" s="44"/>
    </row>
    <row r="23">
      <c r="A23" s="42" t="s">
        <v>17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S23" s="4"/>
      <c r="T23" s="4"/>
      <c r="U23" s="4"/>
      <c r="V23" s="4"/>
    </row>
    <row r="24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A25" s="4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12"/>
      <c r="B26" s="12" t="s">
        <v>18</v>
      </c>
      <c r="C26" s="12" t="s">
        <v>19</v>
      </c>
      <c r="D26" s="12" t="s">
        <v>20</v>
      </c>
      <c r="E26" s="12" t="s">
        <v>21</v>
      </c>
      <c r="F26" s="12" t="s">
        <v>22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8"/>
      <c r="R26" s="48"/>
      <c r="S26" s="48"/>
      <c r="T26" s="48"/>
      <c r="U26" s="47"/>
      <c r="V26" s="47"/>
      <c r="W26" s="47"/>
      <c r="X26" s="47"/>
      <c r="Y26" s="47"/>
    </row>
    <row r="27">
      <c r="A27" s="12" t="s">
        <v>23</v>
      </c>
      <c r="B27" s="46">
        <f>AVERAGE(B7:F7)</f>
        <v>8468.2</v>
      </c>
      <c r="C27" s="46">
        <f>AVERAGE(G7:K7)</f>
        <v>8967.78</v>
      </c>
      <c r="D27" s="46">
        <f>AVERAGE(L7:P7)</f>
        <v>8175.56</v>
      </c>
      <c r="E27" s="46">
        <f>AVERAGE(Q7:U7)</f>
        <v>8123</v>
      </c>
      <c r="F27" s="46">
        <f>AVERAGE(V7:Z7)</f>
        <v>8669.28</v>
      </c>
      <c r="G27" s="4"/>
      <c r="H27" s="4"/>
      <c r="I27" s="4"/>
      <c r="J27" s="4"/>
      <c r="K27" s="4"/>
      <c r="L27" s="4"/>
      <c r="M27" s="4"/>
      <c r="N27" s="4"/>
      <c r="O27" s="4"/>
      <c r="S27" s="4"/>
      <c r="T27" s="4"/>
      <c r="U27" s="4"/>
      <c r="V27" s="4"/>
    </row>
    <row r="28">
      <c r="A28" s="12" t="s">
        <v>24</v>
      </c>
      <c r="B28" s="49">
        <f>MEDIAN(B7:F7)</f>
        <v>8487.6</v>
      </c>
      <c r="C28" s="49">
        <f>MEDIAN(G7:K7)</f>
        <v>9300.7</v>
      </c>
      <c r="D28" s="49">
        <f>MEDIAN(L7:P7)</f>
        <v>8264.5</v>
      </c>
      <c r="E28" s="49">
        <f>MEDIAN(Q7:U7)</f>
        <v>8072.6</v>
      </c>
      <c r="F28" s="49">
        <f>MEDIAN(V7:Z7)</f>
        <v>8779.4</v>
      </c>
      <c r="G28" s="4"/>
      <c r="H28" s="4"/>
      <c r="I28" s="4"/>
      <c r="J28" s="4"/>
      <c r="K28" s="4"/>
      <c r="L28" s="4"/>
      <c r="M28" s="4"/>
      <c r="N28" s="4"/>
      <c r="O28" s="4"/>
      <c r="S28" s="4"/>
      <c r="T28" s="4"/>
      <c r="U28" s="4"/>
      <c r="V28" s="4"/>
    </row>
    <row r="29">
      <c r="A29" s="12" t="s">
        <v>25</v>
      </c>
      <c r="B29" s="50">
        <f>MIN(B7:F7)</f>
        <v>7907.1</v>
      </c>
      <c r="C29" s="50">
        <f>MIN(G7:K7)</f>
        <v>7469.4</v>
      </c>
      <c r="D29" s="50">
        <f>MIN(L7:P7)</f>
        <v>7750.4</v>
      </c>
      <c r="E29" s="50">
        <f>MIN(Q7:U7)</f>
        <v>7898</v>
      </c>
      <c r="F29" s="50">
        <f>MIN(V7:Z7)</f>
        <v>7959.7</v>
      </c>
      <c r="G29" s="4"/>
      <c r="H29" s="4"/>
      <c r="I29" s="4"/>
      <c r="J29" s="4"/>
      <c r="K29" s="4"/>
      <c r="L29" s="4"/>
      <c r="M29" s="4"/>
      <c r="N29" s="4"/>
      <c r="O29" s="4"/>
      <c r="S29" s="4"/>
      <c r="T29" s="4"/>
      <c r="U29" s="4"/>
      <c r="V29" s="4"/>
    </row>
    <row r="30">
      <c r="A30" s="12" t="s">
        <v>26</v>
      </c>
      <c r="B30" s="49">
        <f>MAX(B7:F7)</f>
        <v>8978.2</v>
      </c>
      <c r="C30" s="49">
        <f>MAX(G7:K7)</f>
        <v>9451.1</v>
      </c>
      <c r="D30" s="49">
        <f>MAX(L7:P7)</f>
        <v>8519.3</v>
      </c>
      <c r="E30" s="49">
        <f>MAX(Q7:U7)</f>
        <v>8425.7</v>
      </c>
      <c r="F30" s="49">
        <f>MAX(V7:Z7)</f>
        <v>9285.6</v>
      </c>
      <c r="G30" s="4"/>
      <c r="H30" s="4"/>
      <c r="I30" s="4"/>
      <c r="J30" s="4"/>
      <c r="K30" s="4"/>
      <c r="L30" s="4"/>
      <c r="M30" s="4"/>
      <c r="N30" s="4"/>
      <c r="O30" s="4"/>
      <c r="S30" s="4"/>
      <c r="T30" s="4"/>
      <c r="U30" s="4"/>
      <c r="V30" s="4"/>
    </row>
    <row r="31">
      <c r="A31" s="12" t="s">
        <v>27</v>
      </c>
      <c r="B31" s="23"/>
      <c r="C31" s="51">
        <f t="shared" ref="C31:F31" si="1">((C27 - B27) / B27) * 100</f>
        <v>5.899482771</v>
      </c>
      <c r="D31" s="51">
        <f t="shared" si="1"/>
        <v>-8.834070417</v>
      </c>
      <c r="E31" s="51">
        <f t="shared" si="1"/>
        <v>-0.6428917407</v>
      </c>
      <c r="F31" s="51">
        <f t="shared" si="1"/>
        <v>6.725101563</v>
      </c>
      <c r="G31" s="4"/>
      <c r="H31" s="4"/>
      <c r="I31" s="4"/>
      <c r="J31" s="4"/>
      <c r="K31" s="4"/>
      <c r="L31" s="4"/>
      <c r="M31" s="4"/>
      <c r="N31" s="4"/>
      <c r="O31" s="4"/>
      <c r="S31" s="4"/>
      <c r="T31" s="4"/>
      <c r="U31" s="4"/>
      <c r="V31" s="4"/>
    </row>
    <row r="32">
      <c r="A32" s="52"/>
      <c r="B32" s="2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S32" s="4"/>
      <c r="T32" s="4"/>
      <c r="U32" s="4"/>
      <c r="V32" s="4"/>
    </row>
    <row r="33">
      <c r="A33" s="4"/>
      <c r="B33" s="23"/>
      <c r="C33" s="5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S33" s="4"/>
      <c r="T33" s="4"/>
      <c r="U33" s="4"/>
      <c r="V33" s="4"/>
    </row>
    <row r="34">
      <c r="A34" s="12" t="s">
        <v>28</v>
      </c>
      <c r="B34" s="10">
        <v>2000.0</v>
      </c>
      <c r="C34" s="10">
        <v>2001.0</v>
      </c>
      <c r="D34" s="10">
        <v>2002.0</v>
      </c>
      <c r="E34" s="10">
        <v>2003.0</v>
      </c>
      <c r="F34" s="10">
        <v>2004.0</v>
      </c>
      <c r="G34" s="10">
        <v>2005.0</v>
      </c>
      <c r="H34" s="10">
        <v>2006.0</v>
      </c>
      <c r="I34" s="10">
        <v>2007.0</v>
      </c>
      <c r="J34" s="10">
        <v>2008.0</v>
      </c>
      <c r="K34" s="10">
        <v>2009.0</v>
      </c>
      <c r="L34" s="10">
        <v>2010.0</v>
      </c>
      <c r="M34" s="10">
        <v>2011.0</v>
      </c>
      <c r="N34" s="10">
        <v>2012.0</v>
      </c>
      <c r="O34" s="10">
        <v>2013.0</v>
      </c>
      <c r="P34" s="10">
        <v>2014.0</v>
      </c>
      <c r="Q34" s="10">
        <v>2015.0</v>
      </c>
      <c r="R34" s="10">
        <v>2016.0</v>
      </c>
      <c r="S34" s="10">
        <v>2017.0</v>
      </c>
      <c r="T34" s="10">
        <v>2018.0</v>
      </c>
      <c r="U34" s="10">
        <v>2019.0</v>
      </c>
      <c r="V34" s="10">
        <v>2020.0</v>
      </c>
      <c r="W34" s="10">
        <v>2021.0</v>
      </c>
      <c r="X34" s="11">
        <v>2022.0</v>
      </c>
      <c r="Y34" s="11">
        <v>2023.0</v>
      </c>
      <c r="Z34" s="11">
        <v>2024.0</v>
      </c>
    </row>
    <row r="35">
      <c r="A35" s="30" t="s">
        <v>4</v>
      </c>
      <c r="B35" s="49">
        <f t="shared" ref="B35:Z35" si="2">B9/B7*100</f>
        <v>13.23873481</v>
      </c>
      <c r="C35" s="49">
        <f t="shared" si="2"/>
        <v>12.8957124</v>
      </c>
      <c r="D35" s="49">
        <f t="shared" si="2"/>
        <v>12.76803808</v>
      </c>
      <c r="E35" s="49">
        <f t="shared" si="2"/>
        <v>13.24064464</v>
      </c>
      <c r="F35" s="49">
        <f t="shared" si="2"/>
        <v>13.60183556</v>
      </c>
      <c r="G35" s="49">
        <f t="shared" si="2"/>
        <v>13.88988884</v>
      </c>
      <c r="H35" s="49">
        <f t="shared" si="2"/>
        <v>14.10216435</v>
      </c>
      <c r="I35" s="49">
        <f t="shared" si="2"/>
        <v>14.22766808</v>
      </c>
      <c r="J35" s="49">
        <f t="shared" si="2"/>
        <v>13.80156807</v>
      </c>
      <c r="K35" s="49">
        <f t="shared" si="2"/>
        <v>14.84456583</v>
      </c>
      <c r="L35" s="49">
        <f t="shared" si="2"/>
        <v>16.92815855</v>
      </c>
      <c r="M35" s="49">
        <f t="shared" si="2"/>
        <v>16.57290905</v>
      </c>
      <c r="N35" s="49">
        <f t="shared" si="2"/>
        <v>16.68094797</v>
      </c>
      <c r="O35" s="49">
        <f t="shared" si="2"/>
        <v>16.71244479</v>
      </c>
      <c r="P35" s="49">
        <f t="shared" si="2"/>
        <v>17.17854243</v>
      </c>
      <c r="Q35" s="49">
        <f t="shared" si="2"/>
        <v>16.82704482</v>
      </c>
      <c r="R35" s="49">
        <f t="shared" si="2"/>
        <v>16.6616375</v>
      </c>
      <c r="S35" s="49">
        <f t="shared" si="2"/>
        <v>17.14813071</v>
      </c>
      <c r="T35" s="49">
        <f t="shared" si="2"/>
        <v>17.07057386</v>
      </c>
      <c r="U35" s="49">
        <f t="shared" si="2"/>
        <v>16.59921431</v>
      </c>
      <c r="V35" s="49">
        <f t="shared" si="2"/>
        <v>17.06722615</v>
      </c>
      <c r="W35" s="49">
        <f t="shared" si="2"/>
        <v>16.99143106</v>
      </c>
      <c r="X35" s="49">
        <f t="shared" si="2"/>
        <v>15.39171242</v>
      </c>
      <c r="Y35" s="49">
        <f t="shared" si="2"/>
        <v>15.06959699</v>
      </c>
      <c r="Z35" s="49">
        <f t="shared" si="2"/>
        <v>14.06586543</v>
      </c>
    </row>
    <row r="36">
      <c r="A36" s="24" t="s">
        <v>5</v>
      </c>
      <c r="B36" s="49">
        <f t="shared" ref="B36:Z36" si="3">B10/B7*100</f>
        <v>74.34331171</v>
      </c>
      <c r="C36" s="49">
        <f t="shared" si="3"/>
        <v>74.69513682</v>
      </c>
      <c r="D36" s="49">
        <f t="shared" si="3"/>
        <v>74.78792592</v>
      </c>
      <c r="E36" s="49">
        <f t="shared" si="3"/>
        <v>73.77191282</v>
      </c>
      <c r="F36" s="49">
        <f t="shared" si="3"/>
        <v>73.15274777</v>
      </c>
      <c r="G36" s="49">
        <f t="shared" si="3"/>
        <v>72.91946199</v>
      </c>
      <c r="H36" s="49">
        <f t="shared" si="3"/>
        <v>72.61066371</v>
      </c>
      <c r="I36" s="49">
        <f t="shared" si="3"/>
        <v>72.60279771</v>
      </c>
      <c r="J36" s="49">
        <f t="shared" si="3"/>
        <v>72.93436743</v>
      </c>
      <c r="K36" s="49">
        <f t="shared" si="3"/>
        <v>70.15958444</v>
      </c>
      <c r="L36" s="49">
        <f t="shared" si="3"/>
        <v>67.56296449</v>
      </c>
      <c r="M36" s="49">
        <f t="shared" si="3"/>
        <v>67.92649722</v>
      </c>
      <c r="N36" s="49">
        <f t="shared" si="3"/>
        <v>68.56901389</v>
      </c>
      <c r="O36" s="49">
        <f t="shared" si="3"/>
        <v>68.18682316</v>
      </c>
      <c r="P36" s="49">
        <f t="shared" si="3"/>
        <v>67.6537813</v>
      </c>
      <c r="Q36" s="49">
        <f t="shared" si="3"/>
        <v>67.82349962</v>
      </c>
      <c r="R36" s="49">
        <f t="shared" si="3"/>
        <v>67.85355059</v>
      </c>
      <c r="S36" s="49">
        <f t="shared" si="3"/>
        <v>66.94125808</v>
      </c>
      <c r="T36" s="49">
        <f t="shared" si="3"/>
        <v>67.08206797</v>
      </c>
      <c r="U36" s="49">
        <f t="shared" si="3"/>
        <v>68.06912185</v>
      </c>
      <c r="V36" s="49">
        <f t="shared" si="3"/>
        <v>67.90080028</v>
      </c>
      <c r="W36" s="49">
        <f t="shared" si="3"/>
        <v>67.55543184</v>
      </c>
      <c r="X36" s="49">
        <f t="shared" si="3"/>
        <v>70.74059731</v>
      </c>
      <c r="Y36" s="49">
        <f t="shared" si="3"/>
        <v>71.65233517</v>
      </c>
      <c r="Z36" s="49">
        <f t="shared" si="3"/>
        <v>72.97212889</v>
      </c>
    </row>
    <row r="37">
      <c r="A37" s="30" t="s">
        <v>6</v>
      </c>
      <c r="B37" s="49">
        <f t="shared" ref="B37:Z37" si="4">B11/B7*100</f>
        <v>10.48298365</v>
      </c>
      <c r="C37" s="49">
        <f t="shared" si="4"/>
        <v>10.40680942</v>
      </c>
      <c r="D37" s="49">
        <f t="shared" si="4"/>
        <v>10.5954569</v>
      </c>
      <c r="E37" s="49">
        <f t="shared" si="4"/>
        <v>11.13632994</v>
      </c>
      <c r="F37" s="49">
        <f t="shared" si="4"/>
        <v>11.40763182</v>
      </c>
      <c r="G37" s="49">
        <f t="shared" si="4"/>
        <v>11.4332777</v>
      </c>
      <c r="H37" s="49">
        <f t="shared" si="4"/>
        <v>11.50773598</v>
      </c>
      <c r="I37" s="49">
        <f t="shared" si="4"/>
        <v>11.23843989</v>
      </c>
      <c r="J37" s="49">
        <f t="shared" si="4"/>
        <v>11.28545884</v>
      </c>
      <c r="K37" s="49">
        <f t="shared" si="4"/>
        <v>13.18713685</v>
      </c>
      <c r="L37" s="49">
        <f t="shared" si="4"/>
        <v>13.6960673</v>
      </c>
      <c r="M37" s="49">
        <f t="shared" si="4"/>
        <v>13.56466877</v>
      </c>
      <c r="N37" s="49">
        <f t="shared" si="4"/>
        <v>12.87077577</v>
      </c>
      <c r="O37" s="49">
        <f t="shared" si="4"/>
        <v>13.25186037</v>
      </c>
      <c r="P37" s="49">
        <f t="shared" si="4"/>
        <v>13.46530944</v>
      </c>
      <c r="Q37" s="49">
        <f t="shared" si="4"/>
        <v>13.56039504</v>
      </c>
      <c r="R37" s="49">
        <f t="shared" si="4"/>
        <v>13.67934017</v>
      </c>
      <c r="S37" s="49">
        <f t="shared" si="4"/>
        <v>14.09954661</v>
      </c>
      <c r="T37" s="49">
        <f t="shared" si="4"/>
        <v>14.14743923</v>
      </c>
      <c r="U37" s="49">
        <f t="shared" si="4"/>
        <v>13.75790735</v>
      </c>
      <c r="V37" s="49">
        <f t="shared" si="4"/>
        <v>13.33467342</v>
      </c>
      <c r="W37" s="49">
        <f t="shared" si="4"/>
        <v>13.81438807</v>
      </c>
      <c r="X37" s="49">
        <f t="shared" si="4"/>
        <v>12.21951386</v>
      </c>
      <c r="Y37" s="49">
        <f t="shared" si="4"/>
        <v>11.69737176</v>
      </c>
      <c r="Z37" s="49">
        <f t="shared" si="4"/>
        <v>11.47691049</v>
      </c>
    </row>
    <row r="38">
      <c r="A38" s="30" t="s">
        <v>7</v>
      </c>
      <c r="B38" s="49">
        <f t="shared" ref="B38:X38" si="5">B13/B7*100</f>
        <v>6.465075691</v>
      </c>
      <c r="C38" s="49">
        <f t="shared" si="5"/>
        <v>6.204575387</v>
      </c>
      <c r="D38" s="49">
        <f t="shared" si="5"/>
        <v>6.053536924</v>
      </c>
      <c r="E38" s="49">
        <f t="shared" si="5"/>
        <v>6.210294604</v>
      </c>
      <c r="F38" s="49">
        <f t="shared" si="5"/>
        <v>6.182753781</v>
      </c>
      <c r="G38" s="49">
        <f t="shared" si="5"/>
        <v>6.172071866</v>
      </c>
      <c r="H38" s="49">
        <f t="shared" si="5"/>
        <v>6.247916823</v>
      </c>
      <c r="I38" s="49">
        <f t="shared" si="5"/>
        <v>6.04829323</v>
      </c>
      <c r="J38" s="49">
        <f t="shared" si="5"/>
        <v>6.122038704</v>
      </c>
      <c r="K38" s="49">
        <f t="shared" si="5"/>
        <v>6.426218973</v>
      </c>
      <c r="L38" s="49">
        <f t="shared" si="5"/>
        <v>6.923513625</v>
      </c>
      <c r="M38" s="49">
        <f t="shared" si="5"/>
        <v>6.658190498</v>
      </c>
      <c r="N38" s="49">
        <f t="shared" si="5"/>
        <v>6.351460801</v>
      </c>
      <c r="O38" s="49">
        <f t="shared" si="5"/>
        <v>6.503720733</v>
      </c>
      <c r="P38" s="49">
        <f t="shared" si="5"/>
        <v>6.394804222</v>
      </c>
      <c r="Q38" s="49">
        <f t="shared" si="5"/>
        <v>6.242086604</v>
      </c>
      <c r="R38" s="49">
        <f t="shared" si="5"/>
        <v>6.404646952</v>
      </c>
      <c r="S38" s="49">
        <f t="shared" si="5"/>
        <v>6.798305379</v>
      </c>
      <c r="T38" s="49">
        <f t="shared" si="5"/>
        <v>6.852911641</v>
      </c>
      <c r="U38" s="49">
        <f t="shared" si="5"/>
        <v>6.53832916</v>
      </c>
      <c r="V38" s="49">
        <f t="shared" si="5"/>
        <v>6.427377916</v>
      </c>
      <c r="W38" s="49">
        <f t="shared" si="5"/>
        <v>6.954395817</v>
      </c>
      <c r="X38" s="49">
        <f t="shared" si="5"/>
        <v>5.5163223</v>
      </c>
      <c r="Y38" s="54" t="s">
        <v>29</v>
      </c>
      <c r="Z38" s="54" t="s">
        <v>29</v>
      </c>
    </row>
    <row r="39">
      <c r="A39" s="30" t="s">
        <v>9</v>
      </c>
      <c r="B39" s="49">
        <f t="shared" ref="B39:X39" si="6">B14/B7*100</f>
        <v>3.725765451</v>
      </c>
      <c r="C39" s="49">
        <f t="shared" si="6"/>
        <v>3.898590313</v>
      </c>
      <c r="D39" s="49">
        <f t="shared" si="6"/>
        <v>4.239125312</v>
      </c>
      <c r="E39" s="49">
        <f t="shared" si="6"/>
        <v>4.611243542</v>
      </c>
      <c r="F39" s="49">
        <f t="shared" si="6"/>
        <v>4.917466753</v>
      </c>
      <c r="G39" s="49">
        <f t="shared" si="6"/>
        <v>4.953584012</v>
      </c>
      <c r="H39" s="49">
        <f t="shared" si="6"/>
        <v>4.954465793</v>
      </c>
      <c r="I39" s="49">
        <f t="shared" si="6"/>
        <v>4.886462235</v>
      </c>
      <c r="J39" s="49">
        <f t="shared" si="6"/>
        <v>4.829067516</v>
      </c>
      <c r="K39" s="49">
        <f t="shared" si="6"/>
        <v>6.351246419</v>
      </c>
      <c r="L39" s="49">
        <f t="shared" si="6"/>
        <v>6.344188687</v>
      </c>
      <c r="M39" s="49">
        <f t="shared" si="6"/>
        <v>6.522651761</v>
      </c>
      <c r="N39" s="49">
        <f t="shared" si="6"/>
        <v>6.143697252</v>
      </c>
      <c r="O39" s="49">
        <f t="shared" si="6"/>
        <v>6.347631436</v>
      </c>
      <c r="P39" s="49">
        <f t="shared" si="6"/>
        <v>6.645850247</v>
      </c>
      <c r="Q39" s="49">
        <f t="shared" si="6"/>
        <v>6.878956698</v>
      </c>
      <c r="R39" s="49">
        <f t="shared" si="6"/>
        <v>6.832126333</v>
      </c>
      <c r="S39" s="49">
        <f t="shared" si="6"/>
        <v>6.855288259</v>
      </c>
      <c r="T39" s="49">
        <f t="shared" si="6"/>
        <v>6.788786585</v>
      </c>
      <c r="U39" s="49">
        <f t="shared" si="6"/>
        <v>6.737719121</v>
      </c>
      <c r="V39" s="49">
        <f t="shared" si="6"/>
        <v>6.400995012</v>
      </c>
      <c r="W39" s="49">
        <f t="shared" si="6"/>
        <v>6.340772657</v>
      </c>
      <c r="X39" s="49">
        <f t="shared" si="6"/>
        <v>6.200879331</v>
      </c>
      <c r="Y39" s="54" t="s">
        <v>29</v>
      </c>
      <c r="Z39" s="54" t="s">
        <v>29</v>
      </c>
    </row>
    <row r="40">
      <c r="A40" s="30" t="s">
        <v>10</v>
      </c>
      <c r="B40" s="49">
        <f t="shared" ref="B40:X40" si="7">B15/B7*100</f>
        <v>0.2921425048</v>
      </c>
      <c r="C40" s="49">
        <f t="shared" si="7"/>
        <v>0.3036437247</v>
      </c>
      <c r="D40" s="49">
        <f t="shared" si="7"/>
        <v>0.3027946652</v>
      </c>
      <c r="E40" s="49">
        <f t="shared" si="7"/>
        <v>0.3147917926</v>
      </c>
      <c r="F40" s="49">
        <f t="shared" si="7"/>
        <v>0.3074112851</v>
      </c>
      <c r="G40" s="49">
        <f t="shared" si="7"/>
        <v>0.3076218215</v>
      </c>
      <c r="H40" s="49">
        <f t="shared" si="7"/>
        <v>0.3053533605</v>
      </c>
      <c r="I40" s="49">
        <f t="shared" si="7"/>
        <v>0.3036844222</v>
      </c>
      <c r="J40" s="49">
        <f t="shared" si="7"/>
        <v>0.334352615</v>
      </c>
      <c r="K40" s="49">
        <f t="shared" si="7"/>
        <v>0.4096714596</v>
      </c>
      <c r="L40" s="49">
        <f t="shared" si="7"/>
        <v>0.4283649876</v>
      </c>
      <c r="M40" s="49">
        <f t="shared" si="7"/>
        <v>0.3838265104</v>
      </c>
      <c r="N40" s="49">
        <f t="shared" si="7"/>
        <v>0.3756177151</v>
      </c>
      <c r="O40" s="49">
        <f t="shared" si="7"/>
        <v>0.4005081977</v>
      </c>
      <c r="P40" s="49">
        <f t="shared" si="7"/>
        <v>0.4246549678</v>
      </c>
      <c r="Q40" s="49">
        <f t="shared" si="7"/>
        <v>0.4393517346</v>
      </c>
      <c r="R40" s="49">
        <f t="shared" si="7"/>
        <v>0.442566888</v>
      </c>
      <c r="S40" s="49">
        <f t="shared" si="7"/>
        <v>0.447191735</v>
      </c>
      <c r="T40" s="49">
        <f t="shared" si="7"/>
        <v>0.5057410074</v>
      </c>
      <c r="U40" s="49">
        <f t="shared" si="7"/>
        <v>0.480672229</v>
      </c>
      <c r="V40" s="49">
        <f t="shared" si="7"/>
        <v>0.5075568175</v>
      </c>
      <c r="W40" s="49">
        <f t="shared" si="7"/>
        <v>0.5192195972</v>
      </c>
      <c r="X40" s="49">
        <f t="shared" si="7"/>
        <v>0.5023122309</v>
      </c>
      <c r="Y40" s="54" t="s">
        <v>29</v>
      </c>
      <c r="Z40" s="54" t="s">
        <v>29</v>
      </c>
    </row>
    <row r="41">
      <c r="A41" s="55" t="s">
        <v>30</v>
      </c>
      <c r="B41" s="49">
        <f t="shared" ref="B41:Z41" si="8">B16/B7*100</f>
        <v>0.4476989035</v>
      </c>
      <c r="C41" s="49">
        <f t="shared" si="8"/>
        <v>0.4121750159</v>
      </c>
      <c r="D41" s="49">
        <f t="shared" si="8"/>
        <v>0.4394646308</v>
      </c>
      <c r="E41" s="49">
        <f t="shared" si="8"/>
        <v>0.4071763404</v>
      </c>
      <c r="F41" s="49">
        <f t="shared" si="8"/>
        <v>0.3241184202</v>
      </c>
      <c r="G41" s="49">
        <f t="shared" si="8"/>
        <v>0.283622956</v>
      </c>
      <c r="H41" s="49">
        <f t="shared" si="8"/>
        <v>0.2730977238</v>
      </c>
      <c r="I41" s="49">
        <f t="shared" si="8"/>
        <v>0.2973356189</v>
      </c>
      <c r="J41" s="49">
        <f t="shared" si="8"/>
        <v>0.3724434193</v>
      </c>
      <c r="K41" s="49">
        <f t="shared" si="8"/>
        <v>0.5007095617</v>
      </c>
      <c r="L41" s="49">
        <f t="shared" si="8"/>
        <v>0.4773947151</v>
      </c>
      <c r="M41" s="49">
        <f t="shared" si="8"/>
        <v>0.4078156673</v>
      </c>
      <c r="N41" s="49">
        <f t="shared" si="8"/>
        <v>0.2148063808</v>
      </c>
      <c r="O41" s="49">
        <f t="shared" si="8"/>
        <v>0.2020690907</v>
      </c>
      <c r="P41" s="49">
        <f t="shared" si="8"/>
        <v>0.1973396615</v>
      </c>
      <c r="Q41" s="49">
        <f t="shared" si="8"/>
        <v>0.2380349456</v>
      </c>
      <c r="R41" s="49">
        <f t="shared" si="8"/>
        <v>0.3092939046</v>
      </c>
      <c r="S41" s="49">
        <f t="shared" si="8"/>
        <v>0.3270321829</v>
      </c>
      <c r="T41" s="49">
        <f t="shared" si="8"/>
        <v>0.2806983582</v>
      </c>
      <c r="U41" s="49">
        <f t="shared" si="8"/>
        <v>0.2753480423</v>
      </c>
      <c r="V41" s="49">
        <f t="shared" si="8"/>
        <v>0.3103132028</v>
      </c>
      <c r="W41" s="49">
        <f t="shared" si="8"/>
        <v>0.2832106894</v>
      </c>
      <c r="X41" s="49">
        <f t="shared" si="8"/>
        <v>0.3143722806</v>
      </c>
      <c r="Y41" s="49">
        <f t="shared" si="8"/>
        <v>0.3664742309</v>
      </c>
      <c r="Z41" s="49">
        <f t="shared" si="8"/>
        <v>0.3435426898</v>
      </c>
    </row>
    <row r="42">
      <c r="A42" s="56" t="s">
        <v>31</v>
      </c>
      <c r="B42" s="49">
        <f t="shared" ref="B42:Z42" si="9">B17/B7*100</f>
        <v>1.477153444</v>
      </c>
      <c r="C42" s="49">
        <f t="shared" si="9"/>
        <v>1.579191259</v>
      </c>
      <c r="D42" s="49">
        <f t="shared" si="9"/>
        <v>1.398510769</v>
      </c>
      <c r="E42" s="49">
        <f t="shared" si="9"/>
        <v>1.434811866</v>
      </c>
      <c r="F42" s="49">
        <f t="shared" si="9"/>
        <v>1.503642155</v>
      </c>
      <c r="G42" s="49">
        <f t="shared" si="9"/>
        <v>1.463930796</v>
      </c>
      <c r="H42" s="49">
        <f t="shared" si="9"/>
        <v>1.496661542</v>
      </c>
      <c r="I42" s="49">
        <f t="shared" si="9"/>
        <v>1.623177364</v>
      </c>
      <c r="J42" s="49">
        <f t="shared" si="9"/>
        <v>1.595581467</v>
      </c>
      <c r="K42" s="49">
        <f t="shared" si="9"/>
        <v>1.297292955</v>
      </c>
      <c r="L42" s="49">
        <f t="shared" si="9"/>
        <v>1.32122213</v>
      </c>
      <c r="M42" s="49">
        <f t="shared" si="9"/>
        <v>1.5137158</v>
      </c>
      <c r="N42" s="49">
        <f t="shared" si="9"/>
        <v>1.64919653</v>
      </c>
      <c r="O42" s="49">
        <f t="shared" si="9"/>
        <v>1.632282655</v>
      </c>
      <c r="P42" s="49">
        <f t="shared" si="9"/>
        <v>1.487541373</v>
      </c>
      <c r="Q42" s="49">
        <f t="shared" si="9"/>
        <v>1.537097999</v>
      </c>
      <c r="R42" s="49">
        <f t="shared" si="9"/>
        <v>1.483604908</v>
      </c>
      <c r="S42" s="49">
        <f t="shared" si="9"/>
        <v>1.467928548</v>
      </c>
      <c r="T42" s="49">
        <f t="shared" si="9"/>
        <v>1.405911604</v>
      </c>
      <c r="U42" s="49">
        <f t="shared" si="9"/>
        <v>1.284166301</v>
      </c>
      <c r="V42" s="49">
        <f t="shared" si="9"/>
        <v>1.369398344</v>
      </c>
      <c r="W42" s="49">
        <f t="shared" si="9"/>
        <v>1.337383811</v>
      </c>
      <c r="X42" s="49">
        <f t="shared" si="9"/>
        <v>1.325830922</v>
      </c>
      <c r="Y42" s="49">
        <f t="shared" si="9"/>
        <v>1.206494983</v>
      </c>
      <c r="Z42" s="49">
        <f t="shared" si="9"/>
        <v>1.135090893</v>
      </c>
    </row>
    <row r="43">
      <c r="A43" s="57" t="s">
        <v>32</v>
      </c>
      <c r="B43" s="54" t="s">
        <v>29</v>
      </c>
      <c r="C43" s="54" t="s">
        <v>29</v>
      </c>
      <c r="D43" s="54" t="s">
        <v>29</v>
      </c>
      <c r="E43" s="54" t="s">
        <v>29</v>
      </c>
      <c r="F43" s="54" t="s">
        <v>29</v>
      </c>
      <c r="G43" s="54" t="s">
        <v>29</v>
      </c>
      <c r="H43" s="54" t="s">
        <v>29</v>
      </c>
      <c r="I43" s="54" t="s">
        <v>29</v>
      </c>
      <c r="J43" s="54" t="s">
        <v>29</v>
      </c>
      <c r="K43" s="54" t="s">
        <v>29</v>
      </c>
      <c r="L43" s="54" t="s">
        <v>29</v>
      </c>
      <c r="M43" s="54" t="s">
        <v>29</v>
      </c>
      <c r="N43" s="54" t="s">
        <v>29</v>
      </c>
      <c r="O43" s="54" t="s">
        <v>29</v>
      </c>
      <c r="P43" s="54" t="s">
        <v>29</v>
      </c>
      <c r="Q43" s="54" t="s">
        <v>29</v>
      </c>
      <c r="R43" s="54" t="s">
        <v>29</v>
      </c>
      <c r="S43" s="54" t="s">
        <v>29</v>
      </c>
      <c r="T43" s="54" t="s">
        <v>29</v>
      </c>
      <c r="U43" s="54" t="s">
        <v>29</v>
      </c>
      <c r="V43" s="54" t="s">
        <v>29</v>
      </c>
      <c r="W43" s="54" t="s">
        <v>29</v>
      </c>
      <c r="X43" s="54" t="s">
        <v>29</v>
      </c>
      <c r="Y43" s="54" t="s">
        <v>29</v>
      </c>
      <c r="Z43" s="54" t="s">
        <v>29</v>
      </c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S50" s="58" t="s">
        <v>33</v>
      </c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S75" s="4"/>
      <c r="T75" s="4"/>
      <c r="U75" s="4"/>
      <c r="V75" s="4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S76" s="4"/>
      <c r="T76" s="4"/>
      <c r="U76" s="4"/>
      <c r="V76" s="4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S77" s="4"/>
      <c r="T77" s="4"/>
      <c r="U77" s="4"/>
      <c r="V77" s="4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S78" s="4"/>
      <c r="T78" s="4"/>
      <c r="U78" s="4"/>
      <c r="V78" s="4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S79" s="4"/>
      <c r="T79" s="4"/>
      <c r="U79" s="4"/>
      <c r="V79" s="4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S80" s="4"/>
      <c r="T80" s="4"/>
      <c r="U80" s="4"/>
      <c r="V80" s="4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S81" s="4"/>
      <c r="T81" s="4"/>
      <c r="U81" s="4"/>
      <c r="V81" s="4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S82" s="4"/>
      <c r="T82" s="4"/>
      <c r="U82" s="4"/>
      <c r="V82" s="4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S83" s="4"/>
      <c r="T83" s="4"/>
      <c r="U83" s="4"/>
      <c r="V83" s="4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S84" s="4"/>
      <c r="T84" s="4"/>
      <c r="U84" s="4"/>
      <c r="V84" s="4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S85" s="4"/>
      <c r="T85" s="4"/>
      <c r="U85" s="4"/>
      <c r="V85" s="4"/>
    </row>
    <row r="86">
      <c r="A86" s="2"/>
      <c r="B86" s="2"/>
      <c r="C86" s="2"/>
      <c r="D86" s="2"/>
      <c r="E86" s="2"/>
      <c r="F86" s="2"/>
      <c r="G86" s="2"/>
      <c r="H86" s="2"/>
      <c r="I86" s="2"/>
      <c r="J86" s="59" t="s">
        <v>34</v>
      </c>
      <c r="S86" s="4"/>
      <c r="T86" s="4"/>
      <c r="U86" s="4"/>
      <c r="V86" s="4"/>
    </row>
    <row r="87">
      <c r="A87" s="2"/>
      <c r="B87" s="2"/>
      <c r="C87" s="2"/>
      <c r="D87" s="2"/>
      <c r="E87" s="2"/>
      <c r="F87" s="2"/>
      <c r="G87" s="2"/>
      <c r="H87" s="2"/>
      <c r="I87" s="2"/>
      <c r="S87" s="4"/>
      <c r="T87" s="4"/>
      <c r="U87" s="4"/>
      <c r="V87" s="4"/>
    </row>
    <row r="88">
      <c r="A88" s="2"/>
      <c r="B88" s="2"/>
      <c r="C88" s="2"/>
      <c r="D88" s="2"/>
      <c r="E88" s="2"/>
      <c r="F88" s="2"/>
      <c r="G88" s="2"/>
      <c r="H88" s="2"/>
      <c r="I88" s="2"/>
      <c r="S88" s="4"/>
      <c r="T88" s="4"/>
      <c r="U88" s="4"/>
      <c r="V88" s="4"/>
    </row>
    <row r="89">
      <c r="A89" s="2"/>
      <c r="B89" s="2"/>
      <c r="C89" s="2"/>
      <c r="D89" s="2"/>
      <c r="E89" s="2"/>
      <c r="F89" s="2"/>
      <c r="G89" s="2"/>
      <c r="H89" s="2"/>
      <c r="I89" s="2"/>
      <c r="S89" s="4"/>
      <c r="T89" s="4"/>
      <c r="U89" s="4"/>
      <c r="V89" s="4"/>
    </row>
    <row r="90">
      <c r="A90" s="2"/>
      <c r="B90" s="2"/>
      <c r="C90" s="2"/>
      <c r="D90" s="2"/>
      <c r="E90" s="2"/>
      <c r="F90" s="2"/>
      <c r="G90" s="2"/>
      <c r="H90" s="2"/>
      <c r="I90" s="2"/>
      <c r="S90" s="4"/>
      <c r="T90" s="4"/>
      <c r="U90" s="4"/>
      <c r="V90" s="4"/>
    </row>
    <row r="91">
      <c r="A91" s="2"/>
      <c r="B91" s="2"/>
      <c r="C91" s="2"/>
      <c r="D91" s="2"/>
      <c r="E91" s="2"/>
      <c r="F91" s="2"/>
      <c r="G91" s="2"/>
      <c r="H91" s="2"/>
      <c r="I91" s="2"/>
      <c r="S91" s="4"/>
      <c r="T91" s="4"/>
      <c r="U91" s="4"/>
      <c r="V91" s="4"/>
    </row>
    <row r="92">
      <c r="A92" s="2"/>
      <c r="B92" s="2"/>
      <c r="C92" s="2"/>
      <c r="D92" s="2"/>
      <c r="E92" s="2"/>
      <c r="F92" s="2"/>
      <c r="G92" s="2"/>
      <c r="H92" s="2"/>
      <c r="I92" s="2"/>
      <c r="S92" s="4"/>
      <c r="T92" s="4"/>
      <c r="U92" s="4"/>
      <c r="V92" s="4"/>
    </row>
    <row r="93">
      <c r="A93" s="2"/>
      <c r="B93" s="2"/>
      <c r="C93" s="2"/>
      <c r="D93" s="2"/>
      <c r="E93" s="2"/>
      <c r="F93" s="2"/>
      <c r="G93" s="2"/>
      <c r="H93" s="2"/>
      <c r="I93" s="2"/>
      <c r="S93" s="4"/>
      <c r="T93" s="4"/>
      <c r="U93" s="4"/>
      <c r="V93" s="4"/>
    </row>
    <row r="94">
      <c r="A94" s="2"/>
      <c r="B94" s="2"/>
      <c r="C94" s="2"/>
      <c r="D94" s="2"/>
      <c r="E94" s="2"/>
      <c r="F94" s="2"/>
      <c r="G94" s="2"/>
      <c r="H94" s="2"/>
      <c r="I94" s="2"/>
      <c r="S94" s="4"/>
      <c r="T94" s="4"/>
      <c r="U94" s="4"/>
      <c r="V94" s="4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S95" s="4"/>
      <c r="T95" s="4"/>
      <c r="U95" s="4"/>
      <c r="V95" s="4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S96" s="4"/>
      <c r="T96" s="4"/>
      <c r="U96" s="4"/>
      <c r="V96" s="4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S97" s="4"/>
      <c r="T97" s="4"/>
      <c r="U97" s="4"/>
      <c r="V97" s="4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S98" s="4"/>
      <c r="T98" s="4"/>
      <c r="U98" s="4"/>
      <c r="V98" s="4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S99" s="4"/>
      <c r="T99" s="4"/>
      <c r="U99" s="4"/>
      <c r="V99" s="4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S100" s="4"/>
      <c r="T100" s="4"/>
      <c r="U100" s="4"/>
      <c r="V100" s="4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S101" s="4"/>
      <c r="T101" s="4"/>
      <c r="U101" s="4"/>
      <c r="V101" s="4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S102" s="4"/>
      <c r="T102" s="4"/>
      <c r="U102" s="4"/>
      <c r="V102" s="4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S103" s="4"/>
      <c r="T103" s="4"/>
      <c r="U103" s="4"/>
      <c r="V103" s="4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S104" s="4"/>
      <c r="T104" s="4"/>
      <c r="U104" s="4"/>
      <c r="V104" s="4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S105" s="4"/>
      <c r="T105" s="4"/>
      <c r="U105" s="4"/>
      <c r="V105" s="4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59" t="s">
        <v>35</v>
      </c>
      <c r="S106" s="4"/>
      <c r="T106" s="4"/>
      <c r="U106" s="4"/>
      <c r="V106" s="4"/>
    </row>
    <row r="107">
      <c r="A107" s="2"/>
      <c r="B107" s="2"/>
      <c r="C107" s="2"/>
      <c r="D107" s="2"/>
      <c r="E107" s="2"/>
      <c r="F107" s="2"/>
      <c r="G107" s="2"/>
      <c r="H107" s="2"/>
      <c r="I107" s="2"/>
      <c r="S107" s="4"/>
      <c r="T107" s="4"/>
      <c r="U107" s="4"/>
      <c r="V107" s="4"/>
    </row>
    <row r="108">
      <c r="A108" s="2"/>
      <c r="B108" s="2"/>
      <c r="C108" s="2"/>
      <c r="D108" s="2"/>
      <c r="E108" s="2"/>
      <c r="F108" s="2"/>
      <c r="G108" s="2"/>
      <c r="H108" s="2"/>
      <c r="I108" s="2"/>
      <c r="S108" s="4"/>
      <c r="T108" s="4"/>
      <c r="U108" s="4"/>
      <c r="V108" s="4"/>
    </row>
    <row r="109">
      <c r="A109" s="2"/>
      <c r="B109" s="2"/>
      <c r="C109" s="2"/>
      <c r="D109" s="2"/>
      <c r="E109" s="2"/>
      <c r="F109" s="2"/>
      <c r="G109" s="2"/>
      <c r="H109" s="2"/>
      <c r="I109" s="2"/>
      <c r="S109" s="4"/>
      <c r="T109" s="4"/>
      <c r="U109" s="4"/>
      <c r="V109" s="4"/>
    </row>
    <row r="110">
      <c r="A110" s="2"/>
      <c r="B110" s="2"/>
      <c r="C110" s="2"/>
      <c r="D110" s="2"/>
      <c r="E110" s="2"/>
      <c r="F110" s="2"/>
      <c r="G110" s="2"/>
      <c r="H110" s="2"/>
      <c r="I110" s="2"/>
      <c r="S110" s="4"/>
      <c r="T110" s="4"/>
      <c r="U110" s="4"/>
      <c r="V110" s="4"/>
    </row>
    <row r="111">
      <c r="A111" s="2"/>
      <c r="B111" s="2"/>
      <c r="C111" s="2"/>
      <c r="D111" s="2"/>
      <c r="E111" s="2"/>
      <c r="F111" s="2"/>
      <c r="G111" s="2"/>
      <c r="H111" s="2"/>
      <c r="I111" s="2"/>
      <c r="S111" s="4"/>
      <c r="T111" s="4"/>
      <c r="U111" s="4"/>
      <c r="V111" s="4"/>
    </row>
    <row r="112">
      <c r="A112" s="2"/>
      <c r="B112" s="2"/>
      <c r="C112" s="2"/>
      <c r="D112" s="2"/>
      <c r="E112" s="2"/>
      <c r="F112" s="2"/>
      <c r="G112" s="2"/>
      <c r="H112" s="2"/>
      <c r="I112" s="2"/>
      <c r="S112" s="4"/>
      <c r="T112" s="4"/>
      <c r="U112" s="4"/>
      <c r="V112" s="4"/>
    </row>
    <row r="113">
      <c r="A113" s="2"/>
      <c r="B113" s="2"/>
      <c r="C113" s="2"/>
      <c r="D113" s="2"/>
      <c r="E113" s="2"/>
      <c r="F113" s="2"/>
      <c r="G113" s="2"/>
      <c r="H113" s="2"/>
      <c r="I113" s="2"/>
      <c r="S113" s="4"/>
      <c r="T113" s="4"/>
      <c r="U113" s="4"/>
      <c r="V113" s="4"/>
    </row>
    <row r="114">
      <c r="A114" s="2"/>
      <c r="B114" s="2"/>
      <c r="C114" s="2"/>
      <c r="D114" s="2"/>
      <c r="E114" s="2"/>
      <c r="F114" s="2"/>
      <c r="G114" s="2"/>
      <c r="H114" s="2"/>
      <c r="I114" s="2"/>
      <c r="S114" s="4"/>
      <c r="T114" s="4"/>
      <c r="U114" s="4"/>
      <c r="V114" s="4"/>
    </row>
    <row r="115">
      <c r="A115" s="2"/>
      <c r="B115" s="2"/>
      <c r="C115" s="2"/>
      <c r="D115" s="2"/>
      <c r="E115" s="2"/>
      <c r="F115" s="2"/>
      <c r="G115" s="2"/>
      <c r="H115" s="2"/>
      <c r="I115" s="2"/>
      <c r="S115" s="4"/>
      <c r="T115" s="4"/>
      <c r="U115" s="4"/>
      <c r="V115" s="4"/>
    </row>
    <row r="116">
      <c r="A116" s="2"/>
      <c r="B116" s="2"/>
      <c r="C116" s="2"/>
      <c r="D116" s="2"/>
      <c r="E116" s="2"/>
      <c r="F116" s="2"/>
      <c r="G116" s="2"/>
      <c r="H116" s="2"/>
      <c r="I116" s="2"/>
      <c r="S116" s="4"/>
      <c r="T116" s="4"/>
      <c r="U116" s="4"/>
      <c r="V116" s="4"/>
    </row>
    <row r="117">
      <c r="A117" s="2"/>
      <c r="B117" s="2"/>
      <c r="C117" s="2"/>
      <c r="D117" s="2"/>
      <c r="E117" s="2"/>
      <c r="F117" s="2"/>
      <c r="G117" s="2"/>
      <c r="H117" s="2"/>
      <c r="I117" s="2"/>
      <c r="S117" s="4"/>
      <c r="T117" s="4"/>
      <c r="U117" s="4"/>
      <c r="V117" s="4"/>
    </row>
    <row r="118">
      <c r="A118" s="2"/>
      <c r="B118" s="2"/>
      <c r="C118" s="2"/>
      <c r="D118" s="2"/>
      <c r="E118" s="2"/>
      <c r="F118" s="2"/>
      <c r="G118" s="2"/>
      <c r="H118" s="2"/>
      <c r="I118" s="2"/>
      <c r="S118" s="4"/>
      <c r="T118" s="4"/>
      <c r="U118" s="4"/>
      <c r="V118" s="4"/>
    </row>
    <row r="119">
      <c r="A119" s="2"/>
      <c r="B119" s="2"/>
      <c r="C119" s="2"/>
      <c r="D119" s="2"/>
      <c r="E119" s="2"/>
      <c r="F119" s="2"/>
      <c r="G119" s="2"/>
      <c r="H119" s="2"/>
      <c r="I119" s="2"/>
      <c r="S119" s="4"/>
      <c r="T119" s="4"/>
      <c r="U119" s="4"/>
      <c r="V119" s="4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S120" s="4"/>
      <c r="T120" s="4"/>
      <c r="U120" s="4"/>
      <c r="V120" s="4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S121" s="4"/>
      <c r="T121" s="4"/>
      <c r="U121" s="4"/>
      <c r="V121" s="4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S122" s="4"/>
      <c r="T122" s="4"/>
      <c r="U122" s="4"/>
      <c r="V122" s="4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S123" s="4"/>
      <c r="T123" s="4"/>
      <c r="U123" s="4"/>
      <c r="V123" s="4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S124" s="4"/>
      <c r="T124" s="4"/>
      <c r="U124" s="4"/>
      <c r="V124" s="4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S125" s="4"/>
      <c r="T125" s="4"/>
      <c r="U125" s="4"/>
      <c r="V125" s="4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S126" s="4"/>
      <c r="T126" s="4"/>
      <c r="U126" s="4"/>
      <c r="V126" s="4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S127" s="4"/>
      <c r="T127" s="4"/>
      <c r="U127" s="4"/>
      <c r="V127" s="4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S128" s="4"/>
      <c r="T128" s="4"/>
      <c r="U128" s="4"/>
      <c r="V128" s="4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S129" s="4"/>
      <c r="T129" s="4"/>
      <c r="U129" s="4"/>
      <c r="V129" s="4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S130" s="4"/>
      <c r="T130" s="4"/>
      <c r="U130" s="4"/>
      <c r="V130" s="4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S131" s="4"/>
      <c r="T131" s="4"/>
      <c r="U131" s="4"/>
      <c r="V131" s="4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S132" s="4"/>
      <c r="T132" s="4"/>
      <c r="U132" s="4"/>
      <c r="V132" s="4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S133" s="4"/>
      <c r="T133" s="4"/>
      <c r="U133" s="4"/>
      <c r="V133" s="4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S134" s="4"/>
      <c r="T134" s="4"/>
      <c r="U134" s="4"/>
      <c r="V134" s="4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S135" s="4"/>
      <c r="T135" s="4"/>
      <c r="U135" s="4"/>
      <c r="V135" s="4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S136" s="4"/>
      <c r="T136" s="4"/>
      <c r="U136" s="4"/>
      <c r="V136" s="4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S137" s="4"/>
      <c r="T137" s="4"/>
      <c r="U137" s="4"/>
      <c r="V137" s="4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S138" s="4"/>
      <c r="T138" s="4"/>
      <c r="U138" s="4"/>
      <c r="V138" s="4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S139" s="4"/>
      <c r="T139" s="4"/>
      <c r="U139" s="4"/>
      <c r="V139" s="4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S140" s="4"/>
      <c r="T140" s="4"/>
      <c r="U140" s="4"/>
      <c r="V140" s="4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S141" s="4"/>
      <c r="T141" s="4"/>
      <c r="U141" s="4"/>
      <c r="V141" s="4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S142" s="4"/>
      <c r="T142" s="4"/>
      <c r="U142" s="4"/>
      <c r="V142" s="4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S143" s="4"/>
      <c r="T143" s="4"/>
      <c r="U143" s="4"/>
      <c r="V143" s="4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S144" s="4"/>
      <c r="T144" s="4"/>
      <c r="U144" s="4"/>
      <c r="V144" s="4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S145" s="4"/>
      <c r="T145" s="4"/>
      <c r="U145" s="4"/>
      <c r="V145" s="4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S146" s="4"/>
      <c r="T146" s="4"/>
      <c r="U146" s="4"/>
      <c r="V146" s="4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S147" s="4"/>
      <c r="T147" s="4"/>
      <c r="U147" s="4"/>
      <c r="V147" s="4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S148" s="4"/>
      <c r="T148" s="4"/>
      <c r="U148" s="4"/>
      <c r="V148" s="4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S149" s="4"/>
      <c r="T149" s="4"/>
      <c r="U149" s="4"/>
      <c r="V149" s="4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S150" s="4"/>
      <c r="T150" s="4"/>
      <c r="U150" s="4"/>
      <c r="V150" s="4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S151" s="4"/>
      <c r="T151" s="4"/>
      <c r="U151" s="4"/>
      <c r="V151" s="4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S152" s="4"/>
      <c r="T152" s="4"/>
      <c r="U152" s="4"/>
      <c r="V152" s="4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S153" s="4"/>
      <c r="T153" s="4"/>
      <c r="U153" s="4"/>
      <c r="V153" s="4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S154" s="4"/>
      <c r="T154" s="4"/>
      <c r="U154" s="4"/>
      <c r="V154" s="4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S155" s="4"/>
      <c r="T155" s="4"/>
      <c r="U155" s="4"/>
      <c r="V155" s="4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S156" s="4"/>
      <c r="T156" s="4"/>
      <c r="U156" s="4"/>
      <c r="V156" s="4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S157" s="4"/>
      <c r="T157" s="4"/>
      <c r="U157" s="4"/>
      <c r="V157" s="4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S158" s="4"/>
      <c r="T158" s="4"/>
      <c r="U158" s="4"/>
      <c r="V158" s="4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S159" s="4"/>
      <c r="T159" s="4"/>
      <c r="U159" s="4"/>
      <c r="V159" s="4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S160" s="4"/>
      <c r="T160" s="4"/>
      <c r="U160" s="4"/>
      <c r="V160" s="4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S161" s="4"/>
      <c r="T161" s="4"/>
      <c r="U161" s="4"/>
      <c r="V161" s="4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S162" s="4"/>
      <c r="T162" s="4"/>
      <c r="U162" s="4"/>
      <c r="V162" s="4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S163" s="4"/>
      <c r="T163" s="4"/>
      <c r="U163" s="4"/>
      <c r="V163" s="4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S164" s="4"/>
      <c r="T164" s="4"/>
      <c r="U164" s="4"/>
      <c r="V164" s="4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S165" s="4"/>
      <c r="T165" s="4"/>
      <c r="U165" s="4"/>
      <c r="V165" s="4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S166" s="4"/>
      <c r="T166" s="4"/>
      <c r="U166" s="4"/>
      <c r="V166" s="4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S167" s="4"/>
      <c r="T167" s="4"/>
      <c r="U167" s="4"/>
      <c r="V167" s="4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S168" s="4"/>
      <c r="T168" s="4"/>
      <c r="U168" s="4"/>
      <c r="V168" s="4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S169" s="4"/>
      <c r="T169" s="4"/>
      <c r="U169" s="4"/>
      <c r="V169" s="4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S170" s="4"/>
      <c r="T170" s="4"/>
      <c r="U170" s="4"/>
      <c r="V170" s="4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S171" s="4"/>
      <c r="T171" s="4"/>
      <c r="U171" s="4"/>
      <c r="V171" s="4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S172" s="4"/>
      <c r="T172" s="4"/>
      <c r="U172" s="4"/>
      <c r="V172" s="4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S173" s="4"/>
      <c r="T173" s="4"/>
      <c r="U173" s="4"/>
      <c r="V173" s="4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S174" s="4"/>
      <c r="T174" s="4"/>
      <c r="U174" s="4"/>
      <c r="V174" s="4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S175" s="4"/>
      <c r="T175" s="4"/>
      <c r="U175" s="4"/>
      <c r="V175" s="4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S176" s="4"/>
      <c r="T176" s="4"/>
      <c r="U176" s="4"/>
      <c r="V176" s="4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S177" s="4"/>
      <c r="T177" s="4"/>
      <c r="U177" s="4"/>
      <c r="V177" s="4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S178" s="4"/>
      <c r="T178" s="4"/>
      <c r="U178" s="4"/>
      <c r="V178" s="4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S179" s="4"/>
      <c r="T179" s="4"/>
      <c r="U179" s="4"/>
      <c r="V179" s="4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S180" s="4"/>
      <c r="T180" s="4"/>
      <c r="U180" s="4"/>
      <c r="V180" s="4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S181" s="4"/>
      <c r="T181" s="4"/>
      <c r="U181" s="4"/>
      <c r="V181" s="4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S182" s="4"/>
      <c r="T182" s="4"/>
      <c r="U182" s="4"/>
      <c r="V182" s="4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S183" s="4"/>
      <c r="T183" s="4"/>
      <c r="U183" s="4"/>
      <c r="V183" s="4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S184" s="4"/>
      <c r="T184" s="4"/>
      <c r="U184" s="4"/>
      <c r="V184" s="4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S185" s="4"/>
      <c r="T185" s="4"/>
      <c r="U185" s="4"/>
      <c r="V185" s="4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S186" s="4"/>
      <c r="T186" s="4"/>
      <c r="U186" s="4"/>
      <c r="V186" s="4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S187" s="4"/>
      <c r="T187" s="4"/>
      <c r="U187" s="4"/>
      <c r="V187" s="4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S188" s="4"/>
      <c r="T188" s="4"/>
      <c r="U188" s="4"/>
      <c r="V188" s="4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S189" s="4"/>
      <c r="T189" s="4"/>
      <c r="U189" s="4"/>
      <c r="V189" s="4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S190" s="4"/>
      <c r="T190" s="4"/>
      <c r="U190" s="4"/>
      <c r="V190" s="4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S191" s="4"/>
      <c r="T191" s="4"/>
      <c r="U191" s="4"/>
      <c r="V191" s="4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S192" s="4"/>
      <c r="T192" s="4"/>
      <c r="U192" s="4"/>
      <c r="V192" s="4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S193" s="4"/>
      <c r="T193" s="4"/>
      <c r="U193" s="4"/>
      <c r="V193" s="4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S194" s="4"/>
      <c r="T194" s="4"/>
      <c r="U194" s="4"/>
      <c r="V194" s="4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S195" s="4"/>
      <c r="T195" s="4"/>
      <c r="U195" s="4"/>
      <c r="V195" s="4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S196" s="4"/>
      <c r="T196" s="4"/>
      <c r="U196" s="4"/>
      <c r="V196" s="4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S197" s="4"/>
      <c r="T197" s="4"/>
      <c r="U197" s="4"/>
      <c r="V197" s="4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S198" s="4"/>
      <c r="T198" s="4"/>
      <c r="U198" s="4"/>
      <c r="V198" s="4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S199" s="4"/>
      <c r="T199" s="4"/>
      <c r="U199" s="4"/>
      <c r="V199" s="4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S200" s="4"/>
      <c r="T200" s="4"/>
      <c r="U200" s="4"/>
      <c r="V200" s="4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S201" s="4"/>
      <c r="T201" s="4"/>
      <c r="U201" s="4"/>
      <c r="V201" s="4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S202" s="4"/>
      <c r="T202" s="4"/>
      <c r="U202" s="4"/>
      <c r="V202" s="4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S203" s="4"/>
      <c r="T203" s="4"/>
      <c r="U203" s="4"/>
      <c r="V203" s="4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S204" s="4"/>
      <c r="T204" s="4"/>
      <c r="U204" s="4"/>
      <c r="V204" s="4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S205" s="4"/>
      <c r="T205" s="4"/>
      <c r="U205" s="4"/>
      <c r="V205" s="4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S206" s="4"/>
      <c r="T206" s="4"/>
      <c r="U206" s="4"/>
      <c r="V206" s="4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S207" s="4"/>
      <c r="T207" s="4"/>
      <c r="U207" s="4"/>
      <c r="V207" s="4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S208" s="4"/>
      <c r="T208" s="4"/>
      <c r="U208" s="4"/>
      <c r="V208" s="4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S209" s="4"/>
      <c r="T209" s="4"/>
      <c r="U209" s="4"/>
      <c r="V209" s="4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S210" s="4"/>
      <c r="T210" s="4"/>
      <c r="U210" s="4"/>
      <c r="V210" s="4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S211" s="4"/>
      <c r="T211" s="4"/>
      <c r="U211" s="4"/>
      <c r="V211" s="4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S212" s="4"/>
      <c r="T212" s="4"/>
      <c r="U212" s="4"/>
      <c r="V212" s="4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S213" s="4"/>
      <c r="T213" s="4"/>
      <c r="U213" s="4"/>
      <c r="V213" s="4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S214" s="4"/>
      <c r="T214" s="4"/>
      <c r="U214" s="4"/>
      <c r="V214" s="4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S215" s="4"/>
      <c r="T215" s="4"/>
      <c r="U215" s="4"/>
      <c r="V215" s="4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S216" s="4"/>
      <c r="T216" s="4"/>
      <c r="U216" s="4"/>
      <c r="V216" s="4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S217" s="4"/>
      <c r="T217" s="4"/>
      <c r="U217" s="4"/>
      <c r="V217" s="4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S218" s="4"/>
      <c r="T218" s="4"/>
      <c r="U218" s="4"/>
      <c r="V218" s="4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S219" s="4"/>
      <c r="T219" s="4"/>
      <c r="U219" s="4"/>
      <c r="V219" s="4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S220" s="4"/>
      <c r="T220" s="4"/>
      <c r="U220" s="4"/>
      <c r="V220" s="4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S221" s="4"/>
      <c r="T221" s="4"/>
      <c r="U221" s="4"/>
      <c r="V221" s="4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S222" s="4"/>
      <c r="T222" s="4"/>
      <c r="U222" s="4"/>
      <c r="V222" s="4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S223" s="4"/>
      <c r="T223" s="4"/>
      <c r="U223" s="4"/>
      <c r="V223" s="4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S224" s="4"/>
      <c r="T224" s="4"/>
      <c r="U224" s="4"/>
      <c r="V224" s="4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S225" s="4"/>
      <c r="T225" s="4"/>
      <c r="U225" s="4"/>
      <c r="V225" s="4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S226" s="4"/>
      <c r="T226" s="4"/>
      <c r="U226" s="4"/>
      <c r="V226" s="4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S227" s="4"/>
      <c r="T227" s="4"/>
      <c r="U227" s="4"/>
      <c r="V227" s="4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S228" s="4"/>
      <c r="T228" s="4"/>
      <c r="U228" s="4"/>
      <c r="V228" s="4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S229" s="4"/>
      <c r="T229" s="4"/>
      <c r="U229" s="4"/>
      <c r="V229" s="4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S230" s="4"/>
      <c r="T230" s="4"/>
      <c r="U230" s="4"/>
      <c r="V230" s="4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S231" s="4"/>
      <c r="T231" s="4"/>
      <c r="U231" s="4"/>
      <c r="V231" s="4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S232" s="4"/>
      <c r="T232" s="4"/>
      <c r="U232" s="4"/>
      <c r="V232" s="4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S233" s="4"/>
      <c r="T233" s="4"/>
      <c r="U233" s="4"/>
      <c r="V233" s="4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S234" s="4"/>
      <c r="T234" s="4"/>
      <c r="U234" s="4"/>
      <c r="V234" s="4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S235" s="4"/>
      <c r="T235" s="4"/>
      <c r="U235" s="4"/>
      <c r="V235" s="4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S236" s="4"/>
      <c r="T236" s="4"/>
      <c r="U236" s="4"/>
      <c r="V236" s="4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S237" s="4"/>
      <c r="T237" s="4"/>
      <c r="U237" s="4"/>
      <c r="V237" s="4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S238" s="4"/>
      <c r="T238" s="4"/>
      <c r="U238" s="4"/>
      <c r="V238" s="4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S239" s="4"/>
      <c r="T239" s="4"/>
      <c r="U239" s="4"/>
      <c r="V239" s="4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S240" s="4"/>
      <c r="T240" s="4"/>
      <c r="U240" s="4"/>
      <c r="V240" s="4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S241" s="4"/>
      <c r="T241" s="4"/>
      <c r="U241" s="4"/>
      <c r="V241" s="4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S242" s="4"/>
      <c r="T242" s="4"/>
      <c r="U242" s="4"/>
      <c r="V242" s="4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S243" s="4"/>
      <c r="T243" s="4"/>
      <c r="U243" s="4"/>
      <c r="V243" s="4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S244" s="4"/>
      <c r="T244" s="4"/>
      <c r="U244" s="4"/>
      <c r="V244" s="4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S245" s="4"/>
      <c r="T245" s="4"/>
      <c r="U245" s="4"/>
      <c r="V245" s="4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S246" s="4"/>
      <c r="T246" s="4"/>
      <c r="U246" s="4"/>
      <c r="V246" s="4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S247" s="4"/>
      <c r="T247" s="4"/>
      <c r="U247" s="4"/>
      <c r="V247" s="4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S248" s="4"/>
      <c r="T248" s="4"/>
      <c r="U248" s="4"/>
      <c r="V248" s="4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S249" s="4"/>
      <c r="T249" s="4"/>
      <c r="U249" s="4"/>
      <c r="V249" s="4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S250" s="4"/>
      <c r="T250" s="4"/>
      <c r="U250" s="4"/>
      <c r="V250" s="4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S251" s="4"/>
      <c r="T251" s="4"/>
      <c r="U251" s="4"/>
      <c r="V251" s="4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S252" s="4"/>
      <c r="T252" s="4"/>
      <c r="U252" s="4"/>
      <c r="V252" s="4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S253" s="4"/>
      <c r="T253" s="4"/>
      <c r="U253" s="4"/>
      <c r="V253" s="4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S254" s="4"/>
      <c r="T254" s="4"/>
      <c r="U254" s="4"/>
      <c r="V254" s="4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S255" s="4"/>
      <c r="T255" s="4"/>
      <c r="U255" s="4"/>
      <c r="V255" s="4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S256" s="4"/>
      <c r="T256" s="4"/>
      <c r="U256" s="4"/>
      <c r="V256" s="4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S257" s="4"/>
      <c r="T257" s="4"/>
      <c r="U257" s="4"/>
      <c r="V257" s="4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S258" s="4"/>
      <c r="T258" s="4"/>
      <c r="U258" s="4"/>
      <c r="V258" s="4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S259" s="4"/>
      <c r="T259" s="4"/>
      <c r="U259" s="4"/>
      <c r="V259" s="4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S260" s="4"/>
      <c r="T260" s="4"/>
      <c r="U260" s="4"/>
      <c r="V260" s="4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S261" s="4"/>
      <c r="T261" s="4"/>
      <c r="U261" s="4"/>
      <c r="V261" s="4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S262" s="4"/>
      <c r="T262" s="4"/>
      <c r="U262" s="4"/>
      <c r="V262" s="4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S263" s="4"/>
      <c r="T263" s="4"/>
      <c r="U263" s="4"/>
      <c r="V263" s="4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S264" s="4"/>
      <c r="T264" s="4"/>
      <c r="U264" s="4"/>
      <c r="V264" s="4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S265" s="4"/>
      <c r="T265" s="4"/>
      <c r="U265" s="4"/>
      <c r="V265" s="4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S266" s="4"/>
      <c r="T266" s="4"/>
      <c r="U266" s="4"/>
      <c r="V266" s="4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S267" s="4"/>
      <c r="T267" s="4"/>
      <c r="U267" s="4"/>
      <c r="V267" s="4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S268" s="4"/>
      <c r="T268" s="4"/>
      <c r="U268" s="4"/>
      <c r="V268" s="4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S269" s="4"/>
      <c r="T269" s="4"/>
      <c r="U269" s="4"/>
      <c r="V269" s="4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S270" s="4"/>
      <c r="T270" s="4"/>
      <c r="U270" s="4"/>
      <c r="V270" s="4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S271" s="4"/>
      <c r="T271" s="4"/>
      <c r="U271" s="4"/>
      <c r="V271" s="4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S272" s="4"/>
      <c r="T272" s="4"/>
      <c r="U272" s="4"/>
      <c r="V272" s="4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S273" s="4"/>
      <c r="T273" s="4"/>
      <c r="U273" s="4"/>
      <c r="V273" s="4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S274" s="4"/>
      <c r="T274" s="4"/>
      <c r="U274" s="4"/>
      <c r="V274" s="4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S275" s="4"/>
      <c r="T275" s="4"/>
      <c r="U275" s="4"/>
      <c r="V275" s="4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S276" s="4"/>
      <c r="T276" s="4"/>
      <c r="U276" s="4"/>
      <c r="V276" s="4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S277" s="4"/>
      <c r="T277" s="4"/>
      <c r="U277" s="4"/>
      <c r="V277" s="4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S278" s="4"/>
      <c r="T278" s="4"/>
      <c r="U278" s="4"/>
      <c r="V278" s="4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S279" s="4"/>
      <c r="T279" s="4"/>
      <c r="U279" s="4"/>
      <c r="V279" s="4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S280" s="4"/>
      <c r="T280" s="4"/>
      <c r="U280" s="4"/>
      <c r="V280" s="4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S281" s="4"/>
      <c r="T281" s="4"/>
      <c r="U281" s="4"/>
      <c r="V281" s="4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S282" s="4"/>
      <c r="T282" s="4"/>
      <c r="U282" s="4"/>
      <c r="V282" s="4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S283" s="4"/>
      <c r="T283" s="4"/>
      <c r="U283" s="4"/>
      <c r="V283" s="4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S284" s="4"/>
      <c r="T284" s="4"/>
      <c r="U284" s="4"/>
      <c r="V284" s="4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S285" s="4"/>
      <c r="T285" s="4"/>
      <c r="U285" s="4"/>
      <c r="V285" s="4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S286" s="4"/>
      <c r="T286" s="4"/>
      <c r="U286" s="4"/>
      <c r="V286" s="4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S287" s="4"/>
      <c r="T287" s="4"/>
      <c r="U287" s="4"/>
      <c r="V287" s="4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S288" s="4"/>
      <c r="T288" s="4"/>
      <c r="U288" s="4"/>
      <c r="V288" s="4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S289" s="4"/>
      <c r="T289" s="4"/>
      <c r="U289" s="4"/>
      <c r="V289" s="4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S290" s="4"/>
      <c r="T290" s="4"/>
      <c r="U290" s="4"/>
      <c r="V290" s="4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S291" s="4"/>
      <c r="T291" s="4"/>
      <c r="U291" s="4"/>
      <c r="V291" s="4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S292" s="4"/>
      <c r="T292" s="4"/>
      <c r="U292" s="4"/>
      <c r="V292" s="4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S293" s="4"/>
      <c r="T293" s="4"/>
      <c r="U293" s="4"/>
      <c r="V293" s="4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S294" s="4"/>
      <c r="T294" s="4"/>
      <c r="U294" s="4"/>
      <c r="V294" s="4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S295" s="4"/>
      <c r="T295" s="4"/>
      <c r="U295" s="4"/>
      <c r="V295" s="4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S296" s="4"/>
      <c r="T296" s="4"/>
      <c r="U296" s="4"/>
      <c r="V296" s="4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S297" s="4"/>
      <c r="T297" s="4"/>
      <c r="U297" s="4"/>
      <c r="V297" s="4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S298" s="4"/>
      <c r="T298" s="4"/>
      <c r="U298" s="4"/>
      <c r="V298" s="4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S299" s="4"/>
      <c r="T299" s="4"/>
      <c r="U299" s="4"/>
      <c r="V299" s="4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S300" s="4"/>
      <c r="T300" s="4"/>
      <c r="U300" s="4"/>
      <c r="V300" s="4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S301" s="4"/>
      <c r="T301" s="4"/>
      <c r="U301" s="4"/>
      <c r="V301" s="4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S302" s="4"/>
      <c r="T302" s="4"/>
      <c r="U302" s="4"/>
      <c r="V302" s="4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S303" s="4"/>
      <c r="T303" s="4"/>
      <c r="U303" s="4"/>
      <c r="V303" s="4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S304" s="4"/>
      <c r="T304" s="4"/>
      <c r="U304" s="4"/>
      <c r="V304" s="4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S305" s="4"/>
      <c r="T305" s="4"/>
      <c r="U305" s="4"/>
      <c r="V305" s="4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S306" s="4"/>
      <c r="T306" s="4"/>
      <c r="U306" s="4"/>
      <c r="V306" s="4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S307" s="4"/>
      <c r="T307" s="4"/>
      <c r="U307" s="4"/>
      <c r="V307" s="4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S308" s="4"/>
      <c r="T308" s="4"/>
      <c r="U308" s="4"/>
      <c r="V308" s="4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S309" s="4"/>
      <c r="T309" s="4"/>
      <c r="U309" s="4"/>
      <c r="V309" s="4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S310" s="4"/>
      <c r="T310" s="4"/>
      <c r="U310" s="4"/>
      <c r="V310" s="4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S311" s="4"/>
      <c r="T311" s="4"/>
      <c r="U311" s="4"/>
      <c r="V311" s="4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S312" s="4"/>
      <c r="T312" s="4"/>
      <c r="U312" s="4"/>
      <c r="V312" s="4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S313" s="4"/>
      <c r="T313" s="4"/>
      <c r="U313" s="4"/>
      <c r="V313" s="4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S314" s="4"/>
      <c r="T314" s="4"/>
      <c r="U314" s="4"/>
      <c r="V314" s="4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S315" s="4"/>
      <c r="T315" s="4"/>
      <c r="U315" s="4"/>
      <c r="V315" s="4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S316" s="4"/>
      <c r="T316" s="4"/>
      <c r="U316" s="4"/>
      <c r="V316" s="4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S317" s="4"/>
      <c r="T317" s="4"/>
      <c r="U317" s="4"/>
      <c r="V317" s="4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S318" s="4"/>
      <c r="T318" s="4"/>
      <c r="U318" s="4"/>
      <c r="V318" s="4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S319" s="4"/>
      <c r="T319" s="4"/>
      <c r="U319" s="4"/>
      <c r="V319" s="4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S320" s="4"/>
      <c r="T320" s="4"/>
      <c r="U320" s="4"/>
      <c r="V320" s="4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S321" s="4"/>
      <c r="T321" s="4"/>
      <c r="U321" s="4"/>
      <c r="V321" s="4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S322" s="4"/>
      <c r="T322" s="4"/>
      <c r="U322" s="4"/>
      <c r="V322" s="4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S323" s="4"/>
      <c r="T323" s="4"/>
      <c r="U323" s="4"/>
      <c r="V323" s="4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S324" s="4"/>
      <c r="T324" s="4"/>
      <c r="U324" s="4"/>
      <c r="V324" s="4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S325" s="4"/>
      <c r="T325" s="4"/>
      <c r="U325" s="4"/>
      <c r="V325" s="4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S326" s="4"/>
      <c r="T326" s="4"/>
      <c r="U326" s="4"/>
      <c r="V326" s="4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S327" s="4"/>
      <c r="T327" s="4"/>
      <c r="U327" s="4"/>
      <c r="V327" s="4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S328" s="4"/>
      <c r="T328" s="4"/>
      <c r="U328" s="4"/>
      <c r="V328" s="4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S329" s="4"/>
      <c r="T329" s="4"/>
      <c r="U329" s="4"/>
      <c r="V329" s="4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S330" s="4"/>
      <c r="T330" s="4"/>
      <c r="U330" s="4"/>
      <c r="V330" s="4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S331" s="4"/>
      <c r="T331" s="4"/>
      <c r="U331" s="4"/>
      <c r="V331" s="4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S332" s="4"/>
      <c r="T332" s="4"/>
      <c r="U332" s="4"/>
      <c r="V332" s="4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S333" s="4"/>
      <c r="T333" s="4"/>
      <c r="U333" s="4"/>
      <c r="V333" s="4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S334" s="4"/>
      <c r="T334" s="4"/>
      <c r="U334" s="4"/>
      <c r="V334" s="4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S335" s="4"/>
      <c r="T335" s="4"/>
      <c r="U335" s="4"/>
      <c r="V335" s="4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S336" s="4"/>
      <c r="T336" s="4"/>
      <c r="U336" s="4"/>
      <c r="V336" s="4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S337" s="4"/>
      <c r="T337" s="4"/>
      <c r="U337" s="4"/>
      <c r="V337" s="4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S338" s="4"/>
      <c r="T338" s="4"/>
      <c r="U338" s="4"/>
      <c r="V338" s="4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S339" s="4"/>
      <c r="T339" s="4"/>
      <c r="U339" s="4"/>
      <c r="V339" s="4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S340" s="4"/>
      <c r="T340" s="4"/>
      <c r="U340" s="4"/>
      <c r="V340" s="4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S341" s="4"/>
      <c r="T341" s="4"/>
      <c r="U341" s="4"/>
      <c r="V341" s="4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S342" s="4"/>
      <c r="T342" s="4"/>
      <c r="U342" s="4"/>
      <c r="V342" s="4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S343" s="4"/>
      <c r="T343" s="4"/>
      <c r="U343" s="4"/>
      <c r="V343" s="4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S344" s="4"/>
      <c r="T344" s="4"/>
      <c r="U344" s="4"/>
      <c r="V344" s="4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S345" s="4"/>
      <c r="T345" s="4"/>
      <c r="U345" s="4"/>
      <c r="V345" s="4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S346" s="4"/>
      <c r="T346" s="4"/>
      <c r="U346" s="4"/>
      <c r="V346" s="4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S347" s="4"/>
      <c r="T347" s="4"/>
      <c r="U347" s="4"/>
      <c r="V347" s="4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S348" s="4"/>
      <c r="T348" s="4"/>
      <c r="U348" s="4"/>
      <c r="V348" s="4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S349" s="4"/>
      <c r="T349" s="4"/>
      <c r="U349" s="4"/>
      <c r="V349" s="4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S350" s="4"/>
      <c r="T350" s="4"/>
      <c r="U350" s="4"/>
      <c r="V350" s="4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S351" s="4"/>
      <c r="T351" s="4"/>
      <c r="U351" s="4"/>
      <c r="V351" s="4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S352" s="4"/>
      <c r="T352" s="4"/>
      <c r="U352" s="4"/>
      <c r="V352" s="4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S353" s="4"/>
      <c r="T353" s="4"/>
      <c r="U353" s="4"/>
      <c r="V353" s="4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S354" s="4"/>
      <c r="T354" s="4"/>
      <c r="U354" s="4"/>
      <c r="V354" s="4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S355" s="4"/>
      <c r="T355" s="4"/>
      <c r="U355" s="4"/>
      <c r="V355" s="4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S356" s="4"/>
      <c r="T356" s="4"/>
      <c r="U356" s="4"/>
      <c r="V356" s="4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S357" s="4"/>
      <c r="T357" s="4"/>
      <c r="U357" s="4"/>
      <c r="V357" s="4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S358" s="4"/>
      <c r="T358" s="4"/>
      <c r="U358" s="4"/>
      <c r="V358" s="4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S359" s="4"/>
      <c r="T359" s="4"/>
      <c r="U359" s="4"/>
      <c r="V359" s="4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S360" s="4"/>
      <c r="T360" s="4"/>
      <c r="U360" s="4"/>
      <c r="V360" s="4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S361" s="4"/>
      <c r="T361" s="4"/>
      <c r="U361" s="4"/>
      <c r="V361" s="4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S362" s="4"/>
      <c r="T362" s="4"/>
      <c r="U362" s="4"/>
      <c r="V362" s="4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S363" s="4"/>
      <c r="T363" s="4"/>
      <c r="U363" s="4"/>
      <c r="V363" s="4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S364" s="4"/>
      <c r="T364" s="4"/>
      <c r="U364" s="4"/>
      <c r="V364" s="4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S365" s="4"/>
      <c r="T365" s="4"/>
      <c r="U365" s="4"/>
      <c r="V365" s="4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S366" s="4"/>
      <c r="T366" s="4"/>
      <c r="U366" s="4"/>
      <c r="V366" s="4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S367" s="4"/>
      <c r="T367" s="4"/>
      <c r="U367" s="4"/>
      <c r="V367" s="4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S368" s="4"/>
      <c r="T368" s="4"/>
      <c r="U368" s="4"/>
      <c r="V368" s="4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S369" s="4"/>
      <c r="T369" s="4"/>
      <c r="U369" s="4"/>
      <c r="V369" s="4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S370" s="4"/>
      <c r="T370" s="4"/>
      <c r="U370" s="4"/>
      <c r="V370" s="4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S371" s="4"/>
      <c r="T371" s="4"/>
      <c r="U371" s="4"/>
      <c r="V371" s="4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S372" s="4"/>
      <c r="T372" s="4"/>
      <c r="U372" s="4"/>
      <c r="V372" s="4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S373" s="4"/>
      <c r="T373" s="4"/>
      <c r="U373" s="4"/>
      <c r="V373" s="4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S374" s="4"/>
      <c r="T374" s="4"/>
      <c r="U374" s="4"/>
      <c r="V374" s="4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S375" s="4"/>
      <c r="T375" s="4"/>
      <c r="U375" s="4"/>
      <c r="V375" s="4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S376" s="4"/>
      <c r="T376" s="4"/>
      <c r="U376" s="4"/>
      <c r="V376" s="4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S377" s="4"/>
      <c r="T377" s="4"/>
      <c r="U377" s="4"/>
      <c r="V377" s="4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S378" s="4"/>
      <c r="T378" s="4"/>
      <c r="U378" s="4"/>
      <c r="V378" s="4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S379" s="4"/>
      <c r="T379" s="4"/>
      <c r="U379" s="4"/>
      <c r="V379" s="4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S380" s="4"/>
      <c r="T380" s="4"/>
      <c r="U380" s="4"/>
      <c r="V380" s="4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S381" s="4"/>
      <c r="T381" s="4"/>
      <c r="U381" s="4"/>
      <c r="V381" s="4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S382" s="4"/>
      <c r="T382" s="4"/>
      <c r="U382" s="4"/>
      <c r="V382" s="4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S383" s="4"/>
      <c r="T383" s="4"/>
      <c r="U383" s="4"/>
      <c r="V383" s="4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S384" s="4"/>
      <c r="T384" s="4"/>
      <c r="U384" s="4"/>
      <c r="V384" s="4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S385" s="4"/>
      <c r="T385" s="4"/>
      <c r="U385" s="4"/>
      <c r="V385" s="4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S386" s="4"/>
      <c r="T386" s="4"/>
      <c r="U386" s="4"/>
      <c r="V386" s="4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S387" s="4"/>
      <c r="T387" s="4"/>
      <c r="U387" s="4"/>
      <c r="V387" s="4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S388" s="4"/>
      <c r="T388" s="4"/>
      <c r="U388" s="4"/>
      <c r="V388" s="4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S389" s="4"/>
      <c r="T389" s="4"/>
      <c r="U389" s="4"/>
      <c r="V389" s="4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S390" s="4"/>
      <c r="T390" s="4"/>
      <c r="U390" s="4"/>
      <c r="V390" s="4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S391" s="4"/>
      <c r="T391" s="4"/>
      <c r="U391" s="4"/>
      <c r="V391" s="4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S392" s="4"/>
      <c r="T392" s="4"/>
      <c r="U392" s="4"/>
      <c r="V392" s="4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S393" s="4"/>
      <c r="T393" s="4"/>
      <c r="U393" s="4"/>
      <c r="V393" s="4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S394" s="4"/>
      <c r="T394" s="4"/>
      <c r="U394" s="4"/>
      <c r="V394" s="4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S395" s="4"/>
      <c r="T395" s="4"/>
      <c r="U395" s="4"/>
      <c r="V395" s="4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S396" s="4"/>
      <c r="T396" s="4"/>
      <c r="U396" s="4"/>
      <c r="V396" s="4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S397" s="4"/>
      <c r="T397" s="4"/>
      <c r="U397" s="4"/>
      <c r="V397" s="4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S398" s="4"/>
      <c r="T398" s="4"/>
      <c r="U398" s="4"/>
      <c r="V398" s="4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S399" s="4"/>
      <c r="T399" s="4"/>
      <c r="U399" s="4"/>
      <c r="V399" s="4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S400" s="4"/>
      <c r="T400" s="4"/>
      <c r="U400" s="4"/>
      <c r="V400" s="4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S401" s="4"/>
      <c r="T401" s="4"/>
      <c r="U401" s="4"/>
      <c r="V401" s="4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S402" s="4"/>
      <c r="T402" s="4"/>
      <c r="U402" s="4"/>
      <c r="V402" s="4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S403" s="4"/>
      <c r="T403" s="4"/>
      <c r="U403" s="4"/>
      <c r="V403" s="4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S404" s="4"/>
      <c r="T404" s="4"/>
      <c r="U404" s="4"/>
      <c r="V404" s="4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S405" s="4"/>
      <c r="T405" s="4"/>
      <c r="U405" s="4"/>
      <c r="V405" s="4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S406" s="4"/>
      <c r="T406" s="4"/>
      <c r="U406" s="4"/>
      <c r="V406" s="4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S407" s="4"/>
      <c r="T407" s="4"/>
      <c r="U407" s="4"/>
      <c r="V407" s="4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S408" s="4"/>
      <c r="T408" s="4"/>
      <c r="U408" s="4"/>
      <c r="V408" s="4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S409" s="4"/>
      <c r="T409" s="4"/>
      <c r="U409" s="4"/>
      <c r="V409" s="4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S410" s="4"/>
      <c r="T410" s="4"/>
      <c r="U410" s="4"/>
      <c r="V410" s="4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S411" s="4"/>
      <c r="T411" s="4"/>
      <c r="U411" s="4"/>
      <c r="V411" s="4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S412" s="4"/>
      <c r="T412" s="4"/>
      <c r="U412" s="4"/>
      <c r="V412" s="4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S413" s="4"/>
      <c r="T413" s="4"/>
      <c r="U413" s="4"/>
      <c r="V413" s="4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S414" s="4"/>
      <c r="T414" s="4"/>
      <c r="U414" s="4"/>
      <c r="V414" s="4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S415" s="4"/>
      <c r="T415" s="4"/>
      <c r="U415" s="4"/>
      <c r="V415" s="4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S416" s="4"/>
      <c r="T416" s="4"/>
      <c r="U416" s="4"/>
      <c r="V416" s="4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S417" s="4"/>
      <c r="T417" s="4"/>
      <c r="U417" s="4"/>
      <c r="V417" s="4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S418" s="4"/>
      <c r="T418" s="4"/>
      <c r="U418" s="4"/>
      <c r="V418" s="4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S419" s="4"/>
      <c r="T419" s="4"/>
      <c r="U419" s="4"/>
      <c r="V419" s="4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S420" s="4"/>
      <c r="T420" s="4"/>
      <c r="U420" s="4"/>
      <c r="V420" s="4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S421" s="4"/>
      <c r="T421" s="4"/>
      <c r="U421" s="4"/>
      <c r="V421" s="4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S422" s="4"/>
      <c r="T422" s="4"/>
      <c r="U422" s="4"/>
      <c r="V422" s="4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S423" s="4"/>
      <c r="T423" s="4"/>
      <c r="U423" s="4"/>
      <c r="V423" s="4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S424" s="4"/>
      <c r="T424" s="4"/>
      <c r="U424" s="4"/>
      <c r="V424" s="4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S425" s="4"/>
      <c r="T425" s="4"/>
      <c r="U425" s="4"/>
      <c r="V425" s="4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S426" s="4"/>
      <c r="T426" s="4"/>
      <c r="U426" s="4"/>
      <c r="V426" s="4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S427" s="4"/>
      <c r="T427" s="4"/>
      <c r="U427" s="4"/>
      <c r="V427" s="4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S428" s="4"/>
      <c r="T428" s="4"/>
      <c r="U428" s="4"/>
      <c r="V428" s="4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S429" s="4"/>
      <c r="T429" s="4"/>
      <c r="U429" s="4"/>
      <c r="V429" s="4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S430" s="4"/>
      <c r="T430" s="4"/>
      <c r="U430" s="4"/>
      <c r="V430" s="4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S431" s="4"/>
      <c r="T431" s="4"/>
      <c r="U431" s="4"/>
      <c r="V431" s="4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S432" s="4"/>
      <c r="T432" s="4"/>
      <c r="U432" s="4"/>
      <c r="V432" s="4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S433" s="4"/>
      <c r="T433" s="4"/>
      <c r="U433" s="4"/>
      <c r="V433" s="4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S434" s="4"/>
      <c r="T434" s="4"/>
      <c r="U434" s="4"/>
      <c r="V434" s="4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S435" s="4"/>
      <c r="T435" s="4"/>
      <c r="U435" s="4"/>
      <c r="V435" s="4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S436" s="4"/>
      <c r="T436" s="4"/>
      <c r="U436" s="4"/>
      <c r="V436" s="4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S437" s="4"/>
      <c r="T437" s="4"/>
      <c r="U437" s="4"/>
      <c r="V437" s="4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S438" s="4"/>
      <c r="T438" s="4"/>
      <c r="U438" s="4"/>
      <c r="V438" s="4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S439" s="4"/>
      <c r="T439" s="4"/>
      <c r="U439" s="4"/>
      <c r="V439" s="4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S440" s="4"/>
      <c r="T440" s="4"/>
      <c r="U440" s="4"/>
      <c r="V440" s="4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S441" s="4"/>
      <c r="T441" s="4"/>
      <c r="U441" s="4"/>
      <c r="V441" s="4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S442" s="4"/>
      <c r="T442" s="4"/>
      <c r="U442" s="4"/>
      <c r="V442" s="4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S443" s="4"/>
      <c r="T443" s="4"/>
      <c r="U443" s="4"/>
      <c r="V443" s="4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S444" s="4"/>
      <c r="T444" s="4"/>
      <c r="U444" s="4"/>
      <c r="V444" s="4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S445" s="4"/>
      <c r="T445" s="4"/>
      <c r="U445" s="4"/>
      <c r="V445" s="4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S446" s="4"/>
      <c r="T446" s="4"/>
      <c r="U446" s="4"/>
      <c r="V446" s="4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S447" s="4"/>
      <c r="T447" s="4"/>
      <c r="U447" s="4"/>
      <c r="V447" s="4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S448" s="4"/>
      <c r="T448" s="4"/>
      <c r="U448" s="4"/>
      <c r="V448" s="4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S449" s="4"/>
      <c r="T449" s="4"/>
      <c r="U449" s="4"/>
      <c r="V449" s="4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S450" s="4"/>
      <c r="T450" s="4"/>
      <c r="U450" s="4"/>
      <c r="V450" s="4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S451" s="4"/>
      <c r="T451" s="4"/>
      <c r="U451" s="4"/>
      <c r="V451" s="4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S452" s="4"/>
      <c r="T452" s="4"/>
      <c r="U452" s="4"/>
      <c r="V452" s="4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S453" s="4"/>
      <c r="T453" s="4"/>
      <c r="U453" s="4"/>
      <c r="V453" s="4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S454" s="4"/>
      <c r="T454" s="4"/>
      <c r="U454" s="4"/>
      <c r="V454" s="4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S455" s="4"/>
      <c r="T455" s="4"/>
      <c r="U455" s="4"/>
      <c r="V455" s="4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S456" s="4"/>
      <c r="T456" s="4"/>
      <c r="U456" s="4"/>
      <c r="V456" s="4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S457" s="4"/>
      <c r="T457" s="4"/>
      <c r="U457" s="4"/>
      <c r="V457" s="4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S458" s="4"/>
      <c r="T458" s="4"/>
      <c r="U458" s="4"/>
      <c r="V458" s="4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S459" s="4"/>
      <c r="T459" s="4"/>
      <c r="U459" s="4"/>
      <c r="V459" s="4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S460" s="4"/>
      <c r="T460" s="4"/>
      <c r="U460" s="4"/>
      <c r="V460" s="4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S461" s="4"/>
      <c r="T461" s="4"/>
      <c r="U461" s="4"/>
      <c r="V461" s="4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S462" s="4"/>
      <c r="T462" s="4"/>
      <c r="U462" s="4"/>
      <c r="V462" s="4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S463" s="4"/>
      <c r="T463" s="4"/>
      <c r="U463" s="4"/>
      <c r="V463" s="4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S464" s="4"/>
      <c r="T464" s="4"/>
      <c r="U464" s="4"/>
      <c r="V464" s="4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S465" s="4"/>
      <c r="T465" s="4"/>
      <c r="U465" s="4"/>
      <c r="V465" s="4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S466" s="4"/>
      <c r="T466" s="4"/>
      <c r="U466" s="4"/>
      <c r="V466" s="4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S467" s="4"/>
      <c r="T467" s="4"/>
      <c r="U467" s="4"/>
      <c r="V467" s="4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S468" s="4"/>
      <c r="T468" s="4"/>
      <c r="U468" s="4"/>
      <c r="V468" s="4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S469" s="4"/>
      <c r="T469" s="4"/>
      <c r="U469" s="4"/>
      <c r="V469" s="4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S470" s="4"/>
      <c r="T470" s="4"/>
      <c r="U470" s="4"/>
      <c r="V470" s="4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S471" s="4"/>
      <c r="T471" s="4"/>
      <c r="U471" s="4"/>
      <c r="V471" s="4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S472" s="4"/>
      <c r="T472" s="4"/>
      <c r="U472" s="4"/>
      <c r="V472" s="4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S473" s="4"/>
      <c r="T473" s="4"/>
      <c r="U473" s="4"/>
      <c r="V473" s="4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S474" s="4"/>
      <c r="T474" s="4"/>
      <c r="U474" s="4"/>
      <c r="V474" s="4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S475" s="4"/>
      <c r="T475" s="4"/>
      <c r="U475" s="4"/>
      <c r="V475" s="4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S476" s="4"/>
      <c r="T476" s="4"/>
      <c r="U476" s="4"/>
      <c r="V476" s="4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S477" s="4"/>
      <c r="T477" s="4"/>
      <c r="U477" s="4"/>
      <c r="V477" s="4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S478" s="4"/>
      <c r="T478" s="4"/>
      <c r="U478" s="4"/>
      <c r="V478" s="4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S479" s="4"/>
      <c r="T479" s="4"/>
      <c r="U479" s="4"/>
      <c r="V479" s="4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S480" s="4"/>
      <c r="T480" s="4"/>
      <c r="U480" s="4"/>
      <c r="V480" s="4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S481" s="4"/>
      <c r="T481" s="4"/>
      <c r="U481" s="4"/>
      <c r="V481" s="4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S482" s="4"/>
      <c r="T482" s="4"/>
      <c r="U482" s="4"/>
      <c r="V482" s="4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S483" s="4"/>
      <c r="T483" s="4"/>
      <c r="U483" s="4"/>
      <c r="V483" s="4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S484" s="4"/>
      <c r="T484" s="4"/>
      <c r="U484" s="4"/>
      <c r="V484" s="4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S485" s="4"/>
      <c r="T485" s="4"/>
      <c r="U485" s="4"/>
      <c r="V485" s="4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S486" s="4"/>
      <c r="T486" s="4"/>
      <c r="U486" s="4"/>
      <c r="V486" s="4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S487" s="4"/>
      <c r="T487" s="4"/>
      <c r="U487" s="4"/>
      <c r="V487" s="4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S488" s="4"/>
      <c r="T488" s="4"/>
      <c r="U488" s="4"/>
      <c r="V488" s="4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S489" s="4"/>
      <c r="T489" s="4"/>
      <c r="U489" s="4"/>
      <c r="V489" s="4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S490" s="4"/>
      <c r="T490" s="4"/>
      <c r="U490" s="4"/>
      <c r="V490" s="4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S491" s="4"/>
      <c r="T491" s="4"/>
      <c r="U491" s="4"/>
      <c r="V491" s="4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S492" s="4"/>
      <c r="T492" s="4"/>
      <c r="U492" s="4"/>
      <c r="V492" s="4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S493" s="4"/>
      <c r="T493" s="4"/>
      <c r="U493" s="4"/>
      <c r="V493" s="4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S494" s="4"/>
      <c r="T494" s="4"/>
      <c r="U494" s="4"/>
      <c r="V494" s="4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S495" s="4"/>
      <c r="T495" s="4"/>
      <c r="U495" s="4"/>
      <c r="V495" s="4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S496" s="4"/>
      <c r="T496" s="4"/>
      <c r="U496" s="4"/>
      <c r="V496" s="4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S497" s="4"/>
      <c r="T497" s="4"/>
      <c r="U497" s="4"/>
      <c r="V497" s="4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S498" s="4"/>
      <c r="T498" s="4"/>
      <c r="U498" s="4"/>
      <c r="V498" s="4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S499" s="4"/>
      <c r="T499" s="4"/>
      <c r="U499" s="4"/>
      <c r="V499" s="4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S500" s="4"/>
      <c r="T500" s="4"/>
      <c r="U500" s="4"/>
      <c r="V500" s="4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S501" s="4"/>
      <c r="T501" s="4"/>
      <c r="U501" s="4"/>
      <c r="V501" s="4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S502" s="4"/>
      <c r="T502" s="4"/>
      <c r="U502" s="4"/>
      <c r="V502" s="4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S503" s="4"/>
      <c r="T503" s="4"/>
      <c r="U503" s="4"/>
      <c r="V503" s="4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S504" s="4"/>
      <c r="T504" s="4"/>
      <c r="U504" s="4"/>
      <c r="V504" s="4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S505" s="4"/>
      <c r="T505" s="4"/>
      <c r="U505" s="4"/>
      <c r="V505" s="4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S506" s="4"/>
      <c r="T506" s="4"/>
      <c r="U506" s="4"/>
      <c r="V506" s="4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S507" s="4"/>
      <c r="T507" s="4"/>
      <c r="U507" s="4"/>
      <c r="V507" s="4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S508" s="4"/>
      <c r="T508" s="4"/>
      <c r="U508" s="4"/>
      <c r="V508" s="4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S509" s="4"/>
      <c r="T509" s="4"/>
      <c r="U509" s="4"/>
      <c r="V509" s="4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S510" s="4"/>
      <c r="T510" s="4"/>
      <c r="U510" s="4"/>
      <c r="V510" s="4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S511" s="4"/>
      <c r="T511" s="4"/>
      <c r="U511" s="4"/>
      <c r="V511" s="4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S512" s="4"/>
      <c r="T512" s="4"/>
      <c r="U512" s="4"/>
      <c r="V512" s="4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S513" s="4"/>
      <c r="T513" s="4"/>
      <c r="U513" s="4"/>
      <c r="V513" s="4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S514" s="4"/>
      <c r="T514" s="4"/>
      <c r="U514" s="4"/>
      <c r="V514" s="4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S515" s="4"/>
      <c r="T515" s="4"/>
      <c r="U515" s="4"/>
      <c r="V515" s="4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S516" s="4"/>
      <c r="T516" s="4"/>
      <c r="U516" s="4"/>
      <c r="V516" s="4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S517" s="4"/>
      <c r="T517" s="4"/>
      <c r="U517" s="4"/>
      <c r="V517" s="4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S518" s="4"/>
      <c r="T518" s="4"/>
      <c r="U518" s="4"/>
      <c r="V518" s="4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S519" s="4"/>
      <c r="T519" s="4"/>
      <c r="U519" s="4"/>
      <c r="V519" s="4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S520" s="4"/>
      <c r="T520" s="4"/>
      <c r="U520" s="4"/>
      <c r="V520" s="4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S521" s="4"/>
      <c r="T521" s="4"/>
      <c r="U521" s="4"/>
      <c r="V521" s="4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S522" s="4"/>
      <c r="T522" s="4"/>
      <c r="U522" s="4"/>
      <c r="V522" s="4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S523" s="4"/>
      <c r="T523" s="4"/>
      <c r="U523" s="4"/>
      <c r="V523" s="4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S524" s="4"/>
      <c r="T524" s="4"/>
      <c r="U524" s="4"/>
      <c r="V524" s="4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S525" s="4"/>
      <c r="T525" s="4"/>
      <c r="U525" s="4"/>
      <c r="V525" s="4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S526" s="4"/>
      <c r="T526" s="4"/>
      <c r="U526" s="4"/>
      <c r="V526" s="4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S527" s="4"/>
      <c r="T527" s="4"/>
      <c r="U527" s="4"/>
      <c r="V527" s="4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S528" s="4"/>
      <c r="T528" s="4"/>
      <c r="U528" s="4"/>
      <c r="V528" s="4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S529" s="4"/>
      <c r="T529" s="4"/>
      <c r="U529" s="4"/>
      <c r="V529" s="4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S530" s="4"/>
      <c r="T530" s="4"/>
      <c r="U530" s="4"/>
      <c r="V530" s="4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S531" s="4"/>
      <c r="T531" s="4"/>
      <c r="U531" s="4"/>
      <c r="V531" s="4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S532" s="4"/>
      <c r="T532" s="4"/>
      <c r="U532" s="4"/>
      <c r="V532" s="4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S533" s="4"/>
      <c r="T533" s="4"/>
      <c r="U533" s="4"/>
      <c r="V533" s="4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S534" s="4"/>
      <c r="T534" s="4"/>
      <c r="U534" s="4"/>
      <c r="V534" s="4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S535" s="4"/>
      <c r="T535" s="4"/>
      <c r="U535" s="4"/>
      <c r="V535" s="4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S536" s="4"/>
      <c r="T536" s="4"/>
      <c r="U536" s="4"/>
      <c r="V536" s="4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S537" s="4"/>
      <c r="T537" s="4"/>
      <c r="U537" s="4"/>
      <c r="V537" s="4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S538" s="4"/>
      <c r="T538" s="4"/>
      <c r="U538" s="4"/>
      <c r="V538" s="4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S539" s="4"/>
      <c r="T539" s="4"/>
      <c r="U539" s="4"/>
      <c r="V539" s="4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S540" s="4"/>
      <c r="T540" s="4"/>
      <c r="U540" s="4"/>
      <c r="V540" s="4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S541" s="4"/>
      <c r="T541" s="4"/>
      <c r="U541" s="4"/>
      <c r="V541" s="4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S542" s="4"/>
      <c r="T542" s="4"/>
      <c r="U542" s="4"/>
      <c r="V542" s="4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S543" s="4"/>
      <c r="T543" s="4"/>
      <c r="U543" s="4"/>
      <c r="V543" s="4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S544" s="4"/>
      <c r="T544" s="4"/>
      <c r="U544" s="4"/>
      <c r="V544" s="4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S545" s="4"/>
      <c r="T545" s="4"/>
      <c r="U545" s="4"/>
      <c r="V545" s="4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S546" s="4"/>
      <c r="T546" s="4"/>
      <c r="U546" s="4"/>
      <c r="V546" s="4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S547" s="4"/>
      <c r="T547" s="4"/>
      <c r="U547" s="4"/>
      <c r="V547" s="4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S548" s="4"/>
      <c r="T548" s="4"/>
      <c r="U548" s="4"/>
      <c r="V548" s="4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S549" s="4"/>
      <c r="T549" s="4"/>
      <c r="U549" s="4"/>
      <c r="V549" s="4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S550" s="4"/>
      <c r="T550" s="4"/>
      <c r="U550" s="4"/>
      <c r="V550" s="4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S551" s="4"/>
      <c r="T551" s="4"/>
      <c r="U551" s="4"/>
      <c r="V551" s="4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S552" s="4"/>
      <c r="T552" s="4"/>
      <c r="U552" s="4"/>
      <c r="V552" s="4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S553" s="4"/>
      <c r="T553" s="4"/>
      <c r="U553" s="4"/>
      <c r="V553" s="4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S554" s="4"/>
      <c r="T554" s="4"/>
      <c r="U554" s="4"/>
      <c r="V554" s="4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S555" s="4"/>
      <c r="T555" s="4"/>
      <c r="U555" s="4"/>
      <c r="V555" s="4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S556" s="4"/>
      <c r="T556" s="4"/>
      <c r="U556" s="4"/>
      <c r="V556" s="4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S557" s="4"/>
      <c r="T557" s="4"/>
      <c r="U557" s="4"/>
      <c r="V557" s="4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S558" s="4"/>
      <c r="T558" s="4"/>
      <c r="U558" s="4"/>
      <c r="V558" s="4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S559" s="4"/>
      <c r="T559" s="4"/>
      <c r="U559" s="4"/>
      <c r="V559" s="4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S560" s="4"/>
      <c r="T560" s="4"/>
      <c r="U560" s="4"/>
      <c r="V560" s="4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S561" s="4"/>
      <c r="T561" s="4"/>
      <c r="U561" s="4"/>
      <c r="V561" s="4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S562" s="4"/>
      <c r="T562" s="4"/>
      <c r="U562" s="4"/>
      <c r="V562" s="4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S563" s="4"/>
      <c r="T563" s="4"/>
      <c r="U563" s="4"/>
      <c r="V563" s="4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S564" s="4"/>
      <c r="T564" s="4"/>
      <c r="U564" s="4"/>
      <c r="V564" s="4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S565" s="4"/>
      <c r="T565" s="4"/>
      <c r="U565" s="4"/>
      <c r="V565" s="4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S566" s="4"/>
      <c r="T566" s="4"/>
      <c r="U566" s="4"/>
      <c r="V566" s="4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S567" s="4"/>
      <c r="T567" s="4"/>
      <c r="U567" s="4"/>
      <c r="V567" s="4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S568" s="4"/>
      <c r="T568" s="4"/>
      <c r="U568" s="4"/>
      <c r="V568" s="4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S569" s="4"/>
      <c r="T569" s="4"/>
      <c r="U569" s="4"/>
      <c r="V569" s="4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S570" s="4"/>
      <c r="T570" s="4"/>
      <c r="U570" s="4"/>
      <c r="V570" s="4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S571" s="4"/>
      <c r="T571" s="4"/>
      <c r="U571" s="4"/>
      <c r="V571" s="4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S572" s="4"/>
      <c r="T572" s="4"/>
      <c r="U572" s="4"/>
      <c r="V572" s="4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S573" s="4"/>
      <c r="T573" s="4"/>
      <c r="U573" s="4"/>
      <c r="V573" s="4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S574" s="4"/>
      <c r="T574" s="4"/>
      <c r="U574" s="4"/>
      <c r="V574" s="4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S575" s="4"/>
      <c r="T575" s="4"/>
      <c r="U575" s="4"/>
      <c r="V575" s="4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S576" s="4"/>
      <c r="T576" s="4"/>
      <c r="U576" s="4"/>
      <c r="V576" s="4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S577" s="4"/>
      <c r="T577" s="4"/>
      <c r="U577" s="4"/>
      <c r="V577" s="4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S578" s="4"/>
      <c r="T578" s="4"/>
      <c r="U578" s="4"/>
      <c r="V578" s="4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S579" s="4"/>
      <c r="T579" s="4"/>
      <c r="U579" s="4"/>
      <c r="V579" s="4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S580" s="4"/>
      <c r="T580" s="4"/>
      <c r="U580" s="4"/>
      <c r="V580" s="4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S581" s="4"/>
      <c r="T581" s="4"/>
      <c r="U581" s="4"/>
      <c r="V581" s="4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S582" s="4"/>
      <c r="T582" s="4"/>
      <c r="U582" s="4"/>
      <c r="V582" s="4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S583" s="4"/>
      <c r="T583" s="4"/>
      <c r="U583" s="4"/>
      <c r="V583" s="4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S584" s="4"/>
      <c r="T584" s="4"/>
      <c r="U584" s="4"/>
      <c r="V584" s="4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S585" s="4"/>
      <c r="T585" s="4"/>
      <c r="U585" s="4"/>
      <c r="V585" s="4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S586" s="4"/>
      <c r="T586" s="4"/>
      <c r="U586" s="4"/>
      <c r="V586" s="4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S587" s="4"/>
      <c r="T587" s="4"/>
      <c r="U587" s="4"/>
      <c r="V587" s="4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S588" s="4"/>
      <c r="T588" s="4"/>
      <c r="U588" s="4"/>
      <c r="V588" s="4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S589" s="4"/>
      <c r="T589" s="4"/>
      <c r="U589" s="4"/>
      <c r="V589" s="4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S590" s="4"/>
      <c r="T590" s="4"/>
      <c r="U590" s="4"/>
      <c r="V590" s="4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S591" s="4"/>
      <c r="T591" s="4"/>
      <c r="U591" s="4"/>
      <c r="V591" s="4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S592" s="4"/>
      <c r="T592" s="4"/>
      <c r="U592" s="4"/>
      <c r="V592" s="4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S593" s="4"/>
      <c r="T593" s="4"/>
      <c r="U593" s="4"/>
      <c r="V593" s="4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S594" s="4"/>
      <c r="T594" s="4"/>
      <c r="U594" s="4"/>
      <c r="V594" s="4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S595" s="4"/>
      <c r="T595" s="4"/>
      <c r="U595" s="4"/>
      <c r="V595" s="4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S596" s="4"/>
      <c r="T596" s="4"/>
      <c r="U596" s="4"/>
      <c r="V596" s="4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S597" s="4"/>
      <c r="T597" s="4"/>
      <c r="U597" s="4"/>
      <c r="V597" s="4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S598" s="4"/>
      <c r="T598" s="4"/>
      <c r="U598" s="4"/>
      <c r="V598" s="4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S599" s="4"/>
      <c r="T599" s="4"/>
      <c r="U599" s="4"/>
      <c r="V599" s="4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S600" s="4"/>
      <c r="T600" s="4"/>
      <c r="U600" s="4"/>
      <c r="V600" s="4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S601" s="4"/>
      <c r="T601" s="4"/>
      <c r="U601" s="4"/>
      <c r="V601" s="4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S602" s="4"/>
      <c r="T602" s="4"/>
      <c r="U602" s="4"/>
      <c r="V602" s="4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S603" s="4"/>
      <c r="T603" s="4"/>
      <c r="U603" s="4"/>
      <c r="V603" s="4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S604" s="4"/>
      <c r="T604" s="4"/>
      <c r="U604" s="4"/>
      <c r="V604" s="4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S605" s="4"/>
      <c r="T605" s="4"/>
      <c r="U605" s="4"/>
      <c r="V605" s="4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S606" s="4"/>
      <c r="T606" s="4"/>
      <c r="U606" s="4"/>
      <c r="V606" s="4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S607" s="4"/>
      <c r="T607" s="4"/>
      <c r="U607" s="4"/>
      <c r="V607" s="4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S608" s="4"/>
      <c r="T608" s="4"/>
      <c r="U608" s="4"/>
      <c r="V608" s="4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S609" s="4"/>
      <c r="T609" s="4"/>
      <c r="U609" s="4"/>
      <c r="V609" s="4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S610" s="4"/>
      <c r="T610" s="4"/>
      <c r="U610" s="4"/>
      <c r="V610" s="4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S611" s="4"/>
      <c r="T611" s="4"/>
      <c r="U611" s="4"/>
      <c r="V611" s="4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S612" s="4"/>
      <c r="T612" s="4"/>
      <c r="U612" s="4"/>
      <c r="V612" s="4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S613" s="4"/>
      <c r="T613" s="4"/>
      <c r="U613" s="4"/>
      <c r="V613" s="4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S614" s="4"/>
      <c r="T614" s="4"/>
      <c r="U614" s="4"/>
      <c r="V614" s="4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S615" s="4"/>
      <c r="T615" s="4"/>
      <c r="U615" s="4"/>
      <c r="V615" s="4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S616" s="4"/>
      <c r="T616" s="4"/>
      <c r="U616" s="4"/>
      <c r="V616" s="4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S617" s="4"/>
      <c r="T617" s="4"/>
      <c r="U617" s="4"/>
      <c r="V617" s="4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S618" s="4"/>
      <c r="T618" s="4"/>
      <c r="U618" s="4"/>
      <c r="V618" s="4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S619" s="4"/>
      <c r="T619" s="4"/>
      <c r="U619" s="4"/>
      <c r="V619" s="4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S620" s="4"/>
      <c r="T620" s="4"/>
      <c r="U620" s="4"/>
      <c r="V620" s="4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S621" s="4"/>
      <c r="T621" s="4"/>
      <c r="U621" s="4"/>
      <c r="V621" s="4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S622" s="4"/>
      <c r="T622" s="4"/>
      <c r="U622" s="4"/>
      <c r="V622" s="4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S623" s="4"/>
      <c r="T623" s="4"/>
      <c r="U623" s="4"/>
      <c r="V623" s="4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S624" s="4"/>
      <c r="T624" s="4"/>
      <c r="U624" s="4"/>
      <c r="V624" s="4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S625" s="4"/>
      <c r="T625" s="4"/>
      <c r="U625" s="4"/>
      <c r="V625" s="4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S626" s="4"/>
      <c r="T626" s="4"/>
      <c r="U626" s="4"/>
      <c r="V626" s="4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S627" s="4"/>
      <c r="T627" s="4"/>
      <c r="U627" s="4"/>
      <c r="V627" s="4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S628" s="4"/>
      <c r="T628" s="4"/>
      <c r="U628" s="4"/>
      <c r="V628" s="4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S629" s="4"/>
      <c r="T629" s="4"/>
      <c r="U629" s="4"/>
      <c r="V629" s="4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S630" s="4"/>
      <c r="T630" s="4"/>
      <c r="U630" s="4"/>
      <c r="V630" s="4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S631" s="4"/>
      <c r="T631" s="4"/>
      <c r="U631" s="4"/>
      <c r="V631" s="4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S632" s="4"/>
      <c r="T632" s="4"/>
      <c r="U632" s="4"/>
      <c r="V632" s="4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S633" s="4"/>
      <c r="T633" s="4"/>
      <c r="U633" s="4"/>
      <c r="V633" s="4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S634" s="4"/>
      <c r="T634" s="4"/>
      <c r="U634" s="4"/>
      <c r="V634" s="4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S635" s="4"/>
      <c r="T635" s="4"/>
      <c r="U635" s="4"/>
      <c r="V635" s="4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S636" s="4"/>
      <c r="T636" s="4"/>
      <c r="U636" s="4"/>
      <c r="V636" s="4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S637" s="4"/>
      <c r="T637" s="4"/>
      <c r="U637" s="4"/>
      <c r="V637" s="4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S638" s="4"/>
      <c r="T638" s="4"/>
      <c r="U638" s="4"/>
      <c r="V638" s="4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S639" s="4"/>
      <c r="T639" s="4"/>
      <c r="U639" s="4"/>
      <c r="V639" s="4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S640" s="4"/>
      <c r="T640" s="4"/>
      <c r="U640" s="4"/>
      <c r="V640" s="4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S641" s="4"/>
      <c r="T641" s="4"/>
      <c r="U641" s="4"/>
      <c r="V641" s="4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S642" s="4"/>
      <c r="T642" s="4"/>
      <c r="U642" s="4"/>
      <c r="V642" s="4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S643" s="4"/>
      <c r="T643" s="4"/>
      <c r="U643" s="4"/>
      <c r="V643" s="4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S644" s="4"/>
      <c r="T644" s="4"/>
      <c r="U644" s="4"/>
      <c r="V644" s="4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S645" s="4"/>
      <c r="T645" s="4"/>
      <c r="U645" s="4"/>
      <c r="V645" s="4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S646" s="4"/>
      <c r="T646" s="4"/>
      <c r="U646" s="4"/>
      <c r="V646" s="4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S647" s="4"/>
      <c r="T647" s="4"/>
      <c r="U647" s="4"/>
      <c r="V647" s="4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S648" s="4"/>
      <c r="T648" s="4"/>
      <c r="U648" s="4"/>
      <c r="V648" s="4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S649" s="4"/>
      <c r="T649" s="4"/>
      <c r="U649" s="4"/>
      <c r="V649" s="4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S650" s="4"/>
      <c r="T650" s="4"/>
      <c r="U650" s="4"/>
      <c r="V650" s="4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S651" s="4"/>
      <c r="T651" s="4"/>
      <c r="U651" s="4"/>
      <c r="V651" s="4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S652" s="4"/>
      <c r="T652" s="4"/>
      <c r="U652" s="4"/>
      <c r="V652" s="4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S653" s="4"/>
      <c r="T653" s="4"/>
      <c r="U653" s="4"/>
      <c r="V653" s="4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S654" s="4"/>
      <c r="T654" s="4"/>
      <c r="U654" s="4"/>
      <c r="V654" s="4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S655" s="4"/>
      <c r="T655" s="4"/>
      <c r="U655" s="4"/>
      <c r="V655" s="4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S656" s="4"/>
      <c r="T656" s="4"/>
      <c r="U656" s="4"/>
      <c r="V656" s="4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S657" s="4"/>
      <c r="T657" s="4"/>
      <c r="U657" s="4"/>
      <c r="V657" s="4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S658" s="4"/>
      <c r="T658" s="4"/>
      <c r="U658" s="4"/>
      <c r="V658" s="4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S659" s="4"/>
      <c r="T659" s="4"/>
      <c r="U659" s="4"/>
      <c r="V659" s="4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S660" s="4"/>
      <c r="T660" s="4"/>
      <c r="U660" s="4"/>
      <c r="V660" s="4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S661" s="4"/>
      <c r="T661" s="4"/>
      <c r="U661" s="4"/>
      <c r="V661" s="4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S662" s="4"/>
      <c r="T662" s="4"/>
      <c r="U662" s="4"/>
      <c r="V662" s="4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S663" s="4"/>
      <c r="T663" s="4"/>
      <c r="U663" s="4"/>
      <c r="V663" s="4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S664" s="4"/>
      <c r="T664" s="4"/>
      <c r="U664" s="4"/>
      <c r="V664" s="4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S665" s="4"/>
      <c r="T665" s="4"/>
      <c r="U665" s="4"/>
      <c r="V665" s="4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S666" s="4"/>
      <c r="T666" s="4"/>
      <c r="U666" s="4"/>
      <c r="V666" s="4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S667" s="4"/>
      <c r="T667" s="4"/>
      <c r="U667" s="4"/>
      <c r="V667" s="4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S668" s="4"/>
      <c r="T668" s="4"/>
      <c r="U668" s="4"/>
      <c r="V668" s="4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S669" s="4"/>
      <c r="T669" s="4"/>
      <c r="U669" s="4"/>
      <c r="V669" s="4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S670" s="4"/>
      <c r="T670" s="4"/>
      <c r="U670" s="4"/>
      <c r="V670" s="4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S671" s="4"/>
      <c r="T671" s="4"/>
      <c r="U671" s="4"/>
      <c r="V671" s="4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S672" s="4"/>
      <c r="T672" s="4"/>
      <c r="U672" s="4"/>
      <c r="V672" s="4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S673" s="4"/>
      <c r="T673" s="4"/>
      <c r="U673" s="4"/>
      <c r="V673" s="4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S674" s="4"/>
      <c r="T674" s="4"/>
      <c r="U674" s="4"/>
      <c r="V674" s="4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S675" s="4"/>
      <c r="T675" s="4"/>
      <c r="U675" s="4"/>
      <c r="V675" s="4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S676" s="4"/>
      <c r="T676" s="4"/>
      <c r="U676" s="4"/>
      <c r="V676" s="4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S677" s="4"/>
      <c r="T677" s="4"/>
      <c r="U677" s="4"/>
      <c r="V677" s="4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S678" s="4"/>
      <c r="T678" s="4"/>
      <c r="U678" s="4"/>
      <c r="V678" s="4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S679" s="4"/>
      <c r="T679" s="4"/>
      <c r="U679" s="4"/>
      <c r="V679" s="4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S680" s="4"/>
      <c r="T680" s="4"/>
      <c r="U680" s="4"/>
      <c r="V680" s="4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S681" s="4"/>
      <c r="T681" s="4"/>
      <c r="U681" s="4"/>
      <c r="V681" s="4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S682" s="4"/>
      <c r="T682" s="4"/>
      <c r="U682" s="4"/>
      <c r="V682" s="4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S683" s="4"/>
      <c r="T683" s="4"/>
      <c r="U683" s="4"/>
      <c r="V683" s="4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S684" s="4"/>
      <c r="T684" s="4"/>
      <c r="U684" s="4"/>
      <c r="V684" s="4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S685" s="4"/>
      <c r="T685" s="4"/>
      <c r="U685" s="4"/>
      <c r="V685" s="4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S686" s="4"/>
      <c r="T686" s="4"/>
      <c r="U686" s="4"/>
      <c r="V686" s="4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S687" s="4"/>
      <c r="T687" s="4"/>
      <c r="U687" s="4"/>
      <c r="V687" s="4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S688" s="4"/>
      <c r="T688" s="4"/>
      <c r="U688" s="4"/>
      <c r="V688" s="4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S689" s="4"/>
      <c r="T689" s="4"/>
      <c r="U689" s="4"/>
      <c r="V689" s="4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S690" s="4"/>
      <c r="T690" s="4"/>
      <c r="U690" s="4"/>
      <c r="V690" s="4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S691" s="4"/>
      <c r="T691" s="4"/>
      <c r="U691" s="4"/>
      <c r="V691" s="4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S692" s="4"/>
      <c r="T692" s="4"/>
      <c r="U692" s="4"/>
      <c r="V692" s="4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S693" s="4"/>
      <c r="T693" s="4"/>
      <c r="U693" s="4"/>
      <c r="V693" s="4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S694" s="4"/>
      <c r="T694" s="4"/>
      <c r="U694" s="4"/>
      <c r="V694" s="4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S695" s="4"/>
      <c r="T695" s="4"/>
      <c r="U695" s="4"/>
      <c r="V695" s="4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S696" s="4"/>
      <c r="T696" s="4"/>
      <c r="U696" s="4"/>
      <c r="V696" s="4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S697" s="4"/>
      <c r="T697" s="4"/>
      <c r="U697" s="4"/>
      <c r="V697" s="4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S698" s="4"/>
      <c r="T698" s="4"/>
      <c r="U698" s="4"/>
      <c r="V698" s="4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S699" s="4"/>
      <c r="T699" s="4"/>
      <c r="U699" s="4"/>
      <c r="V699" s="4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S700" s="4"/>
      <c r="T700" s="4"/>
      <c r="U700" s="4"/>
      <c r="V700" s="4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S701" s="4"/>
      <c r="T701" s="4"/>
      <c r="U701" s="4"/>
      <c r="V701" s="4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S702" s="4"/>
      <c r="T702" s="4"/>
      <c r="U702" s="4"/>
      <c r="V702" s="4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S703" s="4"/>
      <c r="T703" s="4"/>
      <c r="U703" s="4"/>
      <c r="V703" s="4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S704" s="4"/>
      <c r="T704" s="4"/>
      <c r="U704" s="4"/>
      <c r="V704" s="4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S705" s="4"/>
      <c r="T705" s="4"/>
      <c r="U705" s="4"/>
      <c r="V705" s="4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S706" s="4"/>
      <c r="T706" s="4"/>
      <c r="U706" s="4"/>
      <c r="V706" s="4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S707" s="4"/>
      <c r="T707" s="4"/>
      <c r="U707" s="4"/>
      <c r="V707" s="4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S708" s="4"/>
      <c r="T708" s="4"/>
      <c r="U708" s="4"/>
      <c r="V708" s="4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S709" s="4"/>
      <c r="T709" s="4"/>
      <c r="U709" s="4"/>
      <c r="V709" s="4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S710" s="4"/>
      <c r="T710" s="4"/>
      <c r="U710" s="4"/>
      <c r="V710" s="4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S711" s="4"/>
      <c r="T711" s="4"/>
      <c r="U711" s="4"/>
      <c r="V711" s="4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S712" s="4"/>
      <c r="T712" s="4"/>
      <c r="U712" s="4"/>
      <c r="V712" s="4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S713" s="4"/>
      <c r="T713" s="4"/>
      <c r="U713" s="4"/>
      <c r="V713" s="4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S714" s="4"/>
      <c r="T714" s="4"/>
      <c r="U714" s="4"/>
      <c r="V714" s="4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S715" s="4"/>
      <c r="T715" s="4"/>
      <c r="U715" s="4"/>
      <c r="V715" s="4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S716" s="4"/>
      <c r="T716" s="4"/>
      <c r="U716" s="4"/>
      <c r="V716" s="4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S717" s="4"/>
      <c r="T717" s="4"/>
      <c r="U717" s="4"/>
      <c r="V717" s="4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S718" s="4"/>
      <c r="T718" s="4"/>
      <c r="U718" s="4"/>
      <c r="V718" s="4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S719" s="4"/>
      <c r="T719" s="4"/>
      <c r="U719" s="4"/>
      <c r="V719" s="4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S720" s="4"/>
      <c r="T720" s="4"/>
      <c r="U720" s="4"/>
      <c r="V720" s="4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S721" s="4"/>
      <c r="T721" s="4"/>
      <c r="U721" s="4"/>
      <c r="V721" s="4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S722" s="4"/>
      <c r="T722" s="4"/>
      <c r="U722" s="4"/>
      <c r="V722" s="4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S723" s="4"/>
      <c r="T723" s="4"/>
      <c r="U723" s="4"/>
      <c r="V723" s="4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S724" s="4"/>
      <c r="T724" s="4"/>
      <c r="U724" s="4"/>
      <c r="V724" s="4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S725" s="4"/>
      <c r="T725" s="4"/>
      <c r="U725" s="4"/>
      <c r="V725" s="4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S726" s="4"/>
      <c r="T726" s="4"/>
      <c r="U726" s="4"/>
      <c r="V726" s="4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S727" s="4"/>
      <c r="T727" s="4"/>
      <c r="U727" s="4"/>
      <c r="V727" s="4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S728" s="4"/>
      <c r="T728" s="4"/>
      <c r="U728" s="4"/>
      <c r="V728" s="4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S729" s="4"/>
      <c r="T729" s="4"/>
      <c r="U729" s="4"/>
      <c r="V729" s="4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S730" s="4"/>
      <c r="T730" s="4"/>
      <c r="U730" s="4"/>
      <c r="V730" s="4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S731" s="4"/>
      <c r="T731" s="4"/>
      <c r="U731" s="4"/>
      <c r="V731" s="4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S732" s="4"/>
      <c r="T732" s="4"/>
      <c r="U732" s="4"/>
      <c r="V732" s="4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S733" s="4"/>
      <c r="T733" s="4"/>
      <c r="U733" s="4"/>
      <c r="V733" s="4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S734" s="4"/>
      <c r="T734" s="4"/>
      <c r="U734" s="4"/>
      <c r="V734" s="4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S735" s="4"/>
      <c r="T735" s="4"/>
      <c r="U735" s="4"/>
      <c r="V735" s="4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S736" s="4"/>
      <c r="T736" s="4"/>
      <c r="U736" s="4"/>
      <c r="V736" s="4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S737" s="4"/>
      <c r="T737" s="4"/>
      <c r="U737" s="4"/>
      <c r="V737" s="4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S738" s="4"/>
      <c r="T738" s="4"/>
      <c r="U738" s="4"/>
      <c r="V738" s="4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S739" s="4"/>
      <c r="T739" s="4"/>
      <c r="U739" s="4"/>
      <c r="V739" s="4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S740" s="4"/>
      <c r="T740" s="4"/>
      <c r="U740" s="4"/>
      <c r="V740" s="4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S741" s="4"/>
      <c r="T741" s="4"/>
      <c r="U741" s="4"/>
      <c r="V741" s="4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S742" s="4"/>
      <c r="T742" s="4"/>
      <c r="U742" s="4"/>
      <c r="V742" s="4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S743" s="4"/>
      <c r="T743" s="4"/>
      <c r="U743" s="4"/>
      <c r="V743" s="4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S744" s="4"/>
      <c r="T744" s="4"/>
      <c r="U744" s="4"/>
      <c r="V744" s="4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S745" s="4"/>
      <c r="T745" s="4"/>
      <c r="U745" s="4"/>
      <c r="V745" s="4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S746" s="4"/>
      <c r="T746" s="4"/>
      <c r="U746" s="4"/>
      <c r="V746" s="4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S747" s="4"/>
      <c r="T747" s="4"/>
      <c r="U747" s="4"/>
      <c r="V747" s="4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S748" s="4"/>
      <c r="T748" s="4"/>
      <c r="U748" s="4"/>
      <c r="V748" s="4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S749" s="4"/>
      <c r="T749" s="4"/>
      <c r="U749" s="4"/>
      <c r="V749" s="4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S750" s="4"/>
      <c r="T750" s="4"/>
      <c r="U750" s="4"/>
      <c r="V750" s="4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S751" s="4"/>
      <c r="T751" s="4"/>
      <c r="U751" s="4"/>
      <c r="V751" s="4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S752" s="4"/>
      <c r="T752" s="4"/>
      <c r="U752" s="4"/>
      <c r="V752" s="4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S753" s="4"/>
      <c r="T753" s="4"/>
      <c r="U753" s="4"/>
      <c r="V753" s="4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S754" s="4"/>
      <c r="T754" s="4"/>
      <c r="U754" s="4"/>
      <c r="V754" s="4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S755" s="4"/>
      <c r="T755" s="4"/>
      <c r="U755" s="4"/>
      <c r="V755" s="4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S756" s="4"/>
      <c r="T756" s="4"/>
      <c r="U756" s="4"/>
      <c r="V756" s="4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S757" s="4"/>
      <c r="T757" s="4"/>
      <c r="U757" s="4"/>
      <c r="V757" s="4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S758" s="4"/>
      <c r="T758" s="4"/>
      <c r="U758" s="4"/>
      <c r="V758" s="4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S759" s="4"/>
      <c r="T759" s="4"/>
      <c r="U759" s="4"/>
      <c r="V759" s="4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S760" s="4"/>
      <c r="T760" s="4"/>
      <c r="U760" s="4"/>
      <c r="V760" s="4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S761" s="4"/>
      <c r="T761" s="4"/>
      <c r="U761" s="4"/>
      <c r="V761" s="4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S762" s="4"/>
      <c r="T762" s="4"/>
      <c r="U762" s="4"/>
      <c r="V762" s="4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S763" s="4"/>
      <c r="T763" s="4"/>
      <c r="U763" s="4"/>
      <c r="V763" s="4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S764" s="4"/>
      <c r="T764" s="4"/>
      <c r="U764" s="4"/>
      <c r="V764" s="4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S765" s="4"/>
      <c r="T765" s="4"/>
      <c r="U765" s="4"/>
      <c r="V765" s="4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S766" s="4"/>
      <c r="T766" s="4"/>
      <c r="U766" s="4"/>
      <c r="V766" s="4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S767" s="4"/>
      <c r="T767" s="4"/>
      <c r="U767" s="4"/>
      <c r="V767" s="4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S768" s="4"/>
      <c r="T768" s="4"/>
      <c r="U768" s="4"/>
      <c r="V768" s="4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S769" s="4"/>
      <c r="T769" s="4"/>
      <c r="U769" s="4"/>
      <c r="V769" s="4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S770" s="4"/>
      <c r="T770" s="4"/>
      <c r="U770" s="4"/>
      <c r="V770" s="4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S771" s="4"/>
      <c r="T771" s="4"/>
      <c r="U771" s="4"/>
      <c r="V771" s="4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S772" s="4"/>
      <c r="T772" s="4"/>
      <c r="U772" s="4"/>
      <c r="V772" s="4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S773" s="4"/>
      <c r="T773" s="4"/>
      <c r="U773" s="4"/>
      <c r="V773" s="4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S774" s="4"/>
      <c r="T774" s="4"/>
      <c r="U774" s="4"/>
      <c r="V774" s="4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S775" s="4"/>
      <c r="T775" s="4"/>
      <c r="U775" s="4"/>
      <c r="V775" s="4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S776" s="4"/>
      <c r="T776" s="4"/>
      <c r="U776" s="4"/>
      <c r="V776" s="4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S777" s="4"/>
      <c r="T777" s="4"/>
      <c r="U777" s="4"/>
      <c r="V777" s="4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S778" s="4"/>
      <c r="T778" s="4"/>
      <c r="U778" s="4"/>
      <c r="V778" s="4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S779" s="4"/>
      <c r="T779" s="4"/>
      <c r="U779" s="4"/>
      <c r="V779" s="4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S780" s="4"/>
      <c r="T780" s="4"/>
      <c r="U780" s="4"/>
      <c r="V780" s="4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S781" s="4"/>
      <c r="T781" s="4"/>
      <c r="U781" s="4"/>
      <c r="V781" s="4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S782" s="4"/>
      <c r="T782" s="4"/>
      <c r="U782" s="4"/>
      <c r="V782" s="4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S783" s="4"/>
      <c r="T783" s="4"/>
      <c r="U783" s="4"/>
      <c r="V783" s="4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S784" s="4"/>
      <c r="T784" s="4"/>
      <c r="U784" s="4"/>
      <c r="V784" s="4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S785" s="4"/>
      <c r="T785" s="4"/>
      <c r="U785" s="4"/>
      <c r="V785" s="4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S786" s="4"/>
      <c r="T786" s="4"/>
      <c r="U786" s="4"/>
      <c r="V786" s="4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S787" s="4"/>
      <c r="T787" s="4"/>
      <c r="U787" s="4"/>
      <c r="V787" s="4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S788" s="4"/>
      <c r="T788" s="4"/>
      <c r="U788" s="4"/>
      <c r="V788" s="4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S789" s="4"/>
      <c r="T789" s="4"/>
      <c r="U789" s="4"/>
      <c r="V789" s="4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S790" s="4"/>
      <c r="T790" s="4"/>
      <c r="U790" s="4"/>
      <c r="V790" s="4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S791" s="4"/>
      <c r="T791" s="4"/>
      <c r="U791" s="4"/>
      <c r="V791" s="4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S792" s="4"/>
      <c r="T792" s="4"/>
      <c r="U792" s="4"/>
      <c r="V792" s="4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S793" s="4"/>
      <c r="T793" s="4"/>
      <c r="U793" s="4"/>
      <c r="V793" s="4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S794" s="4"/>
      <c r="T794" s="4"/>
      <c r="U794" s="4"/>
      <c r="V794" s="4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S795" s="4"/>
      <c r="T795" s="4"/>
      <c r="U795" s="4"/>
      <c r="V795" s="4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S796" s="4"/>
      <c r="T796" s="4"/>
      <c r="U796" s="4"/>
      <c r="V796" s="4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S797" s="4"/>
      <c r="T797" s="4"/>
      <c r="U797" s="4"/>
      <c r="V797" s="4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S798" s="4"/>
      <c r="T798" s="4"/>
      <c r="U798" s="4"/>
      <c r="V798" s="4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S799" s="4"/>
      <c r="T799" s="4"/>
      <c r="U799" s="4"/>
      <c r="V799" s="4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S800" s="4"/>
      <c r="T800" s="4"/>
      <c r="U800" s="4"/>
      <c r="V800" s="4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S801" s="4"/>
      <c r="T801" s="4"/>
      <c r="U801" s="4"/>
      <c r="V801" s="4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S802" s="4"/>
      <c r="T802" s="4"/>
      <c r="U802" s="4"/>
      <c r="V802" s="4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S803" s="4"/>
      <c r="T803" s="4"/>
      <c r="U803" s="4"/>
      <c r="V803" s="4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S804" s="4"/>
      <c r="T804" s="4"/>
      <c r="U804" s="4"/>
      <c r="V804" s="4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S805" s="4"/>
      <c r="T805" s="4"/>
      <c r="U805" s="4"/>
      <c r="V805" s="4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S806" s="4"/>
      <c r="T806" s="4"/>
      <c r="U806" s="4"/>
      <c r="V806" s="4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S807" s="4"/>
      <c r="T807" s="4"/>
      <c r="U807" s="4"/>
      <c r="V807" s="4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S808" s="4"/>
      <c r="T808" s="4"/>
      <c r="U808" s="4"/>
      <c r="V808" s="4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S809" s="4"/>
      <c r="T809" s="4"/>
      <c r="U809" s="4"/>
      <c r="V809" s="4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S810" s="4"/>
      <c r="T810" s="4"/>
      <c r="U810" s="4"/>
      <c r="V810" s="4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S811" s="4"/>
      <c r="T811" s="4"/>
      <c r="U811" s="4"/>
      <c r="V811" s="4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S812" s="4"/>
      <c r="T812" s="4"/>
      <c r="U812" s="4"/>
      <c r="V812" s="4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S813" s="4"/>
      <c r="T813" s="4"/>
      <c r="U813" s="4"/>
      <c r="V813" s="4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S814" s="4"/>
      <c r="T814" s="4"/>
      <c r="U814" s="4"/>
      <c r="V814" s="4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S815" s="4"/>
      <c r="T815" s="4"/>
      <c r="U815" s="4"/>
      <c r="V815" s="4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S816" s="4"/>
      <c r="T816" s="4"/>
      <c r="U816" s="4"/>
      <c r="V816" s="4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S817" s="4"/>
      <c r="T817" s="4"/>
      <c r="U817" s="4"/>
      <c r="V817" s="4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S818" s="4"/>
      <c r="T818" s="4"/>
      <c r="U818" s="4"/>
      <c r="V818" s="4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S819" s="4"/>
      <c r="T819" s="4"/>
      <c r="U819" s="4"/>
      <c r="V819" s="4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S820" s="4"/>
      <c r="T820" s="4"/>
      <c r="U820" s="4"/>
      <c r="V820" s="4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S821" s="4"/>
      <c r="T821" s="4"/>
      <c r="U821" s="4"/>
      <c r="V821" s="4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S822" s="4"/>
      <c r="T822" s="4"/>
      <c r="U822" s="4"/>
      <c r="V822" s="4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S823" s="4"/>
      <c r="T823" s="4"/>
      <c r="U823" s="4"/>
      <c r="V823" s="4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S824" s="4"/>
      <c r="T824" s="4"/>
      <c r="U824" s="4"/>
      <c r="V824" s="4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S825" s="4"/>
      <c r="T825" s="4"/>
      <c r="U825" s="4"/>
      <c r="V825" s="4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S826" s="4"/>
      <c r="T826" s="4"/>
      <c r="U826" s="4"/>
      <c r="V826" s="4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S827" s="4"/>
      <c r="T827" s="4"/>
      <c r="U827" s="4"/>
      <c r="V827" s="4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S828" s="4"/>
      <c r="T828" s="4"/>
      <c r="U828" s="4"/>
      <c r="V828" s="4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S829" s="4"/>
      <c r="T829" s="4"/>
      <c r="U829" s="4"/>
      <c r="V829" s="4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S830" s="4"/>
      <c r="T830" s="4"/>
      <c r="U830" s="4"/>
      <c r="V830" s="4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S831" s="4"/>
      <c r="T831" s="4"/>
      <c r="U831" s="4"/>
      <c r="V831" s="4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S832" s="4"/>
      <c r="T832" s="4"/>
      <c r="U832" s="4"/>
      <c r="V832" s="4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S833" s="4"/>
      <c r="T833" s="4"/>
      <c r="U833" s="4"/>
      <c r="V833" s="4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S834" s="4"/>
      <c r="T834" s="4"/>
      <c r="U834" s="4"/>
      <c r="V834" s="4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S835" s="4"/>
      <c r="T835" s="4"/>
      <c r="U835" s="4"/>
      <c r="V835" s="4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S836" s="4"/>
      <c r="T836" s="4"/>
      <c r="U836" s="4"/>
      <c r="V836" s="4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S837" s="4"/>
      <c r="T837" s="4"/>
      <c r="U837" s="4"/>
      <c r="V837" s="4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S838" s="4"/>
      <c r="T838" s="4"/>
      <c r="U838" s="4"/>
      <c r="V838" s="4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S839" s="4"/>
      <c r="T839" s="4"/>
      <c r="U839" s="4"/>
      <c r="V839" s="4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S840" s="4"/>
      <c r="T840" s="4"/>
      <c r="U840" s="4"/>
      <c r="V840" s="4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S841" s="4"/>
      <c r="T841" s="4"/>
      <c r="U841" s="4"/>
      <c r="V841" s="4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S842" s="4"/>
      <c r="T842" s="4"/>
      <c r="U842" s="4"/>
      <c r="V842" s="4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S843" s="4"/>
      <c r="T843" s="4"/>
      <c r="U843" s="4"/>
      <c r="V843" s="4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S844" s="4"/>
      <c r="T844" s="4"/>
      <c r="U844" s="4"/>
      <c r="V844" s="4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S845" s="4"/>
      <c r="T845" s="4"/>
      <c r="U845" s="4"/>
      <c r="V845" s="4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S846" s="4"/>
      <c r="T846" s="4"/>
      <c r="U846" s="4"/>
      <c r="V846" s="4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S847" s="4"/>
      <c r="T847" s="4"/>
      <c r="U847" s="4"/>
      <c r="V847" s="4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S848" s="4"/>
      <c r="T848" s="4"/>
      <c r="U848" s="4"/>
      <c r="V848" s="4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S849" s="4"/>
      <c r="T849" s="4"/>
      <c r="U849" s="4"/>
      <c r="V849" s="4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S850" s="4"/>
      <c r="T850" s="4"/>
      <c r="U850" s="4"/>
      <c r="V850" s="4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S851" s="4"/>
      <c r="T851" s="4"/>
      <c r="U851" s="4"/>
      <c r="V851" s="4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S852" s="4"/>
      <c r="T852" s="4"/>
      <c r="U852" s="4"/>
      <c r="V852" s="4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S853" s="4"/>
      <c r="T853" s="4"/>
      <c r="U853" s="4"/>
      <c r="V853" s="4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S854" s="4"/>
      <c r="T854" s="4"/>
      <c r="U854" s="4"/>
      <c r="V854" s="4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S855" s="4"/>
      <c r="T855" s="4"/>
      <c r="U855" s="4"/>
      <c r="V855" s="4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S856" s="4"/>
      <c r="T856" s="4"/>
      <c r="U856" s="4"/>
      <c r="V856" s="4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S857" s="4"/>
      <c r="T857" s="4"/>
      <c r="U857" s="4"/>
      <c r="V857" s="4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S858" s="4"/>
      <c r="T858" s="4"/>
      <c r="U858" s="4"/>
      <c r="V858" s="4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S859" s="4"/>
      <c r="T859" s="4"/>
      <c r="U859" s="4"/>
      <c r="V859" s="4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S860" s="4"/>
      <c r="T860" s="4"/>
      <c r="U860" s="4"/>
      <c r="V860" s="4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S861" s="4"/>
      <c r="T861" s="4"/>
      <c r="U861" s="4"/>
      <c r="V861" s="4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S862" s="4"/>
      <c r="T862" s="4"/>
      <c r="U862" s="4"/>
      <c r="V862" s="4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S863" s="4"/>
      <c r="T863" s="4"/>
      <c r="U863" s="4"/>
      <c r="V863" s="4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S864" s="4"/>
      <c r="T864" s="4"/>
      <c r="U864" s="4"/>
      <c r="V864" s="4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S865" s="4"/>
      <c r="T865" s="4"/>
      <c r="U865" s="4"/>
      <c r="V865" s="4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S866" s="4"/>
      <c r="T866" s="4"/>
      <c r="U866" s="4"/>
      <c r="V866" s="4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S867" s="4"/>
      <c r="T867" s="4"/>
      <c r="U867" s="4"/>
      <c r="V867" s="4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S868" s="4"/>
      <c r="T868" s="4"/>
      <c r="U868" s="4"/>
      <c r="V868" s="4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S869" s="4"/>
      <c r="T869" s="4"/>
      <c r="U869" s="4"/>
      <c r="V869" s="4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S870" s="4"/>
      <c r="T870" s="4"/>
      <c r="U870" s="4"/>
      <c r="V870" s="4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S871" s="4"/>
      <c r="T871" s="4"/>
      <c r="U871" s="4"/>
      <c r="V871" s="4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S872" s="4"/>
      <c r="T872" s="4"/>
      <c r="U872" s="4"/>
      <c r="V872" s="4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S873" s="4"/>
      <c r="T873" s="4"/>
      <c r="U873" s="4"/>
      <c r="V873" s="4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S874" s="4"/>
      <c r="T874" s="4"/>
      <c r="U874" s="4"/>
      <c r="V874" s="4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S875" s="4"/>
      <c r="T875" s="4"/>
      <c r="U875" s="4"/>
      <c r="V875" s="4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S876" s="4"/>
      <c r="T876" s="4"/>
      <c r="U876" s="4"/>
      <c r="V876" s="4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S877" s="4"/>
      <c r="T877" s="4"/>
      <c r="U877" s="4"/>
      <c r="V877" s="4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S878" s="4"/>
      <c r="T878" s="4"/>
      <c r="U878" s="4"/>
      <c r="V878" s="4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S879" s="4"/>
      <c r="T879" s="4"/>
      <c r="U879" s="4"/>
      <c r="V879" s="4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S880" s="4"/>
      <c r="T880" s="4"/>
      <c r="U880" s="4"/>
      <c r="V880" s="4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S881" s="4"/>
      <c r="T881" s="4"/>
      <c r="U881" s="4"/>
      <c r="V881" s="4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S882" s="4"/>
      <c r="T882" s="4"/>
      <c r="U882" s="4"/>
      <c r="V882" s="4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S883" s="4"/>
      <c r="T883" s="4"/>
      <c r="U883" s="4"/>
      <c r="V883" s="4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S884" s="4"/>
      <c r="T884" s="4"/>
      <c r="U884" s="4"/>
      <c r="V884" s="4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S885" s="4"/>
      <c r="T885" s="4"/>
      <c r="U885" s="4"/>
      <c r="V885" s="4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S886" s="4"/>
      <c r="T886" s="4"/>
      <c r="U886" s="4"/>
      <c r="V886" s="4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S887" s="4"/>
      <c r="T887" s="4"/>
      <c r="U887" s="4"/>
      <c r="V887" s="4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S888" s="4"/>
      <c r="T888" s="4"/>
      <c r="U888" s="4"/>
      <c r="V888" s="4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S889" s="4"/>
      <c r="T889" s="4"/>
      <c r="U889" s="4"/>
      <c r="V889" s="4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S890" s="4"/>
      <c r="T890" s="4"/>
      <c r="U890" s="4"/>
      <c r="V890" s="4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S891" s="4"/>
      <c r="T891" s="4"/>
      <c r="U891" s="4"/>
      <c r="V891" s="4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S892" s="4"/>
      <c r="T892" s="4"/>
      <c r="U892" s="4"/>
      <c r="V892" s="4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S893" s="4"/>
      <c r="T893" s="4"/>
      <c r="U893" s="4"/>
      <c r="V893" s="4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S894" s="4"/>
      <c r="T894" s="4"/>
      <c r="U894" s="4"/>
      <c r="V894" s="4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S895" s="4"/>
      <c r="T895" s="4"/>
      <c r="U895" s="4"/>
      <c r="V895" s="4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S896" s="4"/>
      <c r="T896" s="4"/>
      <c r="U896" s="4"/>
      <c r="V896" s="4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S897" s="4"/>
      <c r="T897" s="4"/>
      <c r="U897" s="4"/>
      <c r="V897" s="4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S898" s="4"/>
      <c r="T898" s="4"/>
      <c r="U898" s="4"/>
      <c r="V898" s="4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S899" s="4"/>
      <c r="T899" s="4"/>
      <c r="U899" s="4"/>
      <c r="V899" s="4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S900" s="4"/>
      <c r="T900" s="4"/>
      <c r="U900" s="4"/>
      <c r="V900" s="4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S901" s="4"/>
      <c r="T901" s="4"/>
      <c r="U901" s="4"/>
      <c r="V901" s="4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S902" s="4"/>
      <c r="T902" s="4"/>
      <c r="U902" s="4"/>
      <c r="V902" s="4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S903" s="4"/>
      <c r="T903" s="4"/>
      <c r="U903" s="4"/>
      <c r="V903" s="4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S904" s="4"/>
      <c r="T904" s="4"/>
      <c r="U904" s="4"/>
      <c r="V904" s="4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S905" s="4"/>
      <c r="T905" s="4"/>
      <c r="U905" s="4"/>
      <c r="V905" s="4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S906" s="4"/>
      <c r="T906" s="4"/>
      <c r="U906" s="4"/>
      <c r="V906" s="4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S907" s="4"/>
      <c r="T907" s="4"/>
      <c r="U907" s="4"/>
      <c r="V907" s="4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S908" s="4"/>
      <c r="T908" s="4"/>
      <c r="U908" s="4"/>
      <c r="V908" s="4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S909" s="4"/>
      <c r="T909" s="4"/>
      <c r="U909" s="4"/>
      <c r="V909" s="4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S910" s="4"/>
      <c r="T910" s="4"/>
      <c r="U910" s="4"/>
      <c r="V910" s="4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S911" s="4"/>
      <c r="T911" s="4"/>
      <c r="U911" s="4"/>
      <c r="V911" s="4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S912" s="4"/>
      <c r="T912" s="4"/>
      <c r="U912" s="4"/>
      <c r="V912" s="4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S913" s="4"/>
      <c r="T913" s="4"/>
      <c r="U913" s="4"/>
      <c r="V913" s="4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S914" s="4"/>
      <c r="T914" s="4"/>
      <c r="U914" s="4"/>
      <c r="V914" s="4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S915" s="4"/>
      <c r="T915" s="4"/>
      <c r="U915" s="4"/>
      <c r="V915" s="4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S916" s="4"/>
      <c r="T916" s="4"/>
      <c r="U916" s="4"/>
      <c r="V916" s="4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S917" s="4"/>
      <c r="T917" s="4"/>
      <c r="U917" s="4"/>
      <c r="V917" s="4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S918" s="4"/>
      <c r="T918" s="4"/>
      <c r="U918" s="4"/>
      <c r="V918" s="4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S919" s="4"/>
      <c r="T919" s="4"/>
      <c r="U919" s="4"/>
      <c r="V919" s="4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S920" s="4"/>
      <c r="T920" s="4"/>
      <c r="U920" s="4"/>
      <c r="V920" s="4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S921" s="4"/>
      <c r="T921" s="4"/>
      <c r="U921" s="4"/>
      <c r="V921" s="4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S922" s="4"/>
      <c r="T922" s="4"/>
      <c r="U922" s="4"/>
      <c r="V922" s="4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S923" s="4"/>
      <c r="T923" s="4"/>
      <c r="U923" s="4"/>
      <c r="V923" s="4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S924" s="4"/>
      <c r="T924" s="4"/>
      <c r="U924" s="4"/>
      <c r="V924" s="4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S925" s="4"/>
      <c r="T925" s="4"/>
      <c r="U925" s="4"/>
      <c r="V925" s="4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S926" s="4"/>
      <c r="T926" s="4"/>
      <c r="U926" s="4"/>
      <c r="V926" s="4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S927" s="4"/>
      <c r="T927" s="4"/>
      <c r="U927" s="4"/>
      <c r="V927" s="4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S928" s="4"/>
      <c r="T928" s="4"/>
      <c r="U928" s="4"/>
      <c r="V928" s="4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S929" s="4"/>
      <c r="T929" s="4"/>
      <c r="U929" s="4"/>
      <c r="V929" s="4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S930" s="4"/>
      <c r="T930" s="4"/>
      <c r="U930" s="4"/>
      <c r="V930" s="4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S931" s="4"/>
      <c r="T931" s="4"/>
      <c r="U931" s="4"/>
      <c r="V931" s="4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S932" s="4"/>
      <c r="T932" s="4"/>
      <c r="U932" s="4"/>
      <c r="V932" s="4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S933" s="4"/>
      <c r="T933" s="4"/>
      <c r="U933" s="4"/>
      <c r="V933" s="4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S934" s="4"/>
      <c r="T934" s="4"/>
      <c r="U934" s="4"/>
      <c r="V934" s="4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S935" s="4"/>
      <c r="T935" s="4"/>
      <c r="U935" s="4"/>
      <c r="V935" s="4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S936" s="4"/>
      <c r="T936" s="4"/>
      <c r="U936" s="4"/>
      <c r="V936" s="4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S937" s="4"/>
      <c r="T937" s="4"/>
      <c r="U937" s="4"/>
      <c r="V937" s="4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S938" s="4"/>
      <c r="T938" s="4"/>
      <c r="U938" s="4"/>
      <c r="V938" s="4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S939" s="4"/>
      <c r="T939" s="4"/>
      <c r="U939" s="4"/>
      <c r="V939" s="4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S940" s="4"/>
      <c r="T940" s="4"/>
      <c r="U940" s="4"/>
      <c r="V940" s="4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S941" s="4"/>
      <c r="T941" s="4"/>
      <c r="U941" s="4"/>
      <c r="V941" s="4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S942" s="4"/>
      <c r="T942" s="4"/>
      <c r="U942" s="4"/>
      <c r="V942" s="4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S943" s="4"/>
      <c r="T943" s="4"/>
      <c r="U943" s="4"/>
      <c r="V943" s="4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S944" s="4"/>
      <c r="T944" s="4"/>
      <c r="U944" s="4"/>
      <c r="V944" s="4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S945" s="4"/>
      <c r="T945" s="4"/>
      <c r="U945" s="4"/>
      <c r="V945" s="4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S946" s="4"/>
      <c r="T946" s="4"/>
      <c r="U946" s="4"/>
      <c r="V946" s="4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S947" s="4"/>
      <c r="T947" s="4"/>
      <c r="U947" s="4"/>
      <c r="V947" s="4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S948" s="4"/>
      <c r="T948" s="4"/>
      <c r="U948" s="4"/>
      <c r="V948" s="4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S949" s="4"/>
      <c r="T949" s="4"/>
      <c r="U949" s="4"/>
      <c r="V949" s="4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S950" s="4"/>
      <c r="T950" s="4"/>
      <c r="U950" s="4"/>
      <c r="V950" s="4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S951" s="4"/>
      <c r="T951" s="4"/>
      <c r="U951" s="4"/>
      <c r="V951" s="4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S952" s="4"/>
      <c r="T952" s="4"/>
      <c r="U952" s="4"/>
      <c r="V952" s="4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S953" s="4"/>
      <c r="T953" s="4"/>
      <c r="U953" s="4"/>
      <c r="V953" s="4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S954" s="4"/>
      <c r="T954" s="4"/>
      <c r="U954" s="4"/>
      <c r="V954" s="4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S955" s="4"/>
      <c r="T955" s="4"/>
      <c r="U955" s="4"/>
      <c r="V955" s="4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S956" s="4"/>
      <c r="T956" s="4"/>
      <c r="U956" s="4"/>
      <c r="V956" s="4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S957" s="4"/>
      <c r="T957" s="4"/>
      <c r="U957" s="4"/>
      <c r="V957" s="4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S958" s="4"/>
      <c r="T958" s="4"/>
      <c r="U958" s="4"/>
      <c r="V958" s="4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S959" s="4"/>
      <c r="T959" s="4"/>
      <c r="U959" s="4"/>
      <c r="V959" s="4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S960" s="4"/>
      <c r="T960" s="4"/>
      <c r="U960" s="4"/>
      <c r="V960" s="4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S961" s="4"/>
      <c r="T961" s="4"/>
      <c r="U961" s="4"/>
      <c r="V961" s="4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S962" s="4"/>
      <c r="T962" s="4"/>
      <c r="U962" s="4"/>
      <c r="V962" s="4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S963" s="4"/>
      <c r="T963" s="4"/>
      <c r="U963" s="4"/>
      <c r="V963" s="4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S964" s="4"/>
      <c r="T964" s="4"/>
      <c r="U964" s="4"/>
      <c r="V964" s="4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S965" s="4"/>
      <c r="T965" s="4"/>
      <c r="U965" s="4"/>
      <c r="V965" s="4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S966" s="4"/>
      <c r="T966" s="4"/>
      <c r="U966" s="4"/>
      <c r="V966" s="4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S967" s="4"/>
      <c r="T967" s="4"/>
      <c r="U967" s="4"/>
      <c r="V967" s="4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S968" s="4"/>
      <c r="T968" s="4"/>
      <c r="U968" s="4"/>
      <c r="V968" s="4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S969" s="4"/>
      <c r="T969" s="4"/>
      <c r="U969" s="4"/>
      <c r="V969" s="4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S970" s="4"/>
      <c r="T970" s="4"/>
      <c r="U970" s="4"/>
      <c r="V970" s="4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S971" s="4"/>
      <c r="T971" s="4"/>
      <c r="U971" s="4"/>
      <c r="V971" s="4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S972" s="4"/>
      <c r="T972" s="4"/>
      <c r="U972" s="4"/>
      <c r="V972" s="4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S973" s="4"/>
      <c r="T973" s="4"/>
      <c r="U973" s="4"/>
      <c r="V973" s="4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S974" s="4"/>
      <c r="T974" s="4"/>
      <c r="U974" s="4"/>
      <c r="V974" s="4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S975" s="4"/>
      <c r="T975" s="4"/>
      <c r="U975" s="4"/>
      <c r="V975" s="4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S976" s="4"/>
      <c r="T976" s="4"/>
      <c r="U976" s="4"/>
      <c r="V976" s="4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S977" s="4"/>
      <c r="T977" s="4"/>
      <c r="U977" s="4"/>
      <c r="V977" s="4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S978" s="4"/>
      <c r="T978" s="4"/>
      <c r="U978" s="4"/>
      <c r="V978" s="4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S979" s="4"/>
      <c r="T979" s="4"/>
      <c r="U979" s="4"/>
      <c r="V979" s="4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S980" s="4"/>
      <c r="T980" s="4"/>
      <c r="U980" s="4"/>
      <c r="V980" s="4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S981" s="4"/>
      <c r="T981" s="4"/>
      <c r="U981" s="4"/>
      <c r="V981" s="4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S982" s="4"/>
      <c r="T982" s="4"/>
      <c r="U982" s="4"/>
      <c r="V982" s="4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S983" s="4"/>
      <c r="T983" s="4"/>
      <c r="U983" s="4"/>
      <c r="V983" s="4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S984" s="4"/>
      <c r="T984" s="4"/>
      <c r="U984" s="4"/>
      <c r="V984" s="4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S985" s="4"/>
      <c r="T985" s="4"/>
      <c r="U985" s="4"/>
      <c r="V985" s="4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S986" s="4"/>
      <c r="T986" s="4"/>
      <c r="U986" s="4"/>
      <c r="V986" s="4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S987" s="4"/>
      <c r="T987" s="4"/>
      <c r="U987" s="4"/>
      <c r="V987" s="4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S988" s="4"/>
      <c r="T988" s="4"/>
      <c r="U988" s="4"/>
      <c r="V988" s="4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S989" s="4"/>
      <c r="T989" s="4"/>
      <c r="U989" s="4"/>
      <c r="V989" s="4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S990" s="4"/>
      <c r="T990" s="4"/>
      <c r="U990" s="4"/>
      <c r="V990" s="4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S991" s="4"/>
      <c r="T991" s="4"/>
      <c r="U991" s="4"/>
      <c r="V991" s="4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S992" s="4"/>
      <c r="T992" s="4"/>
      <c r="U992" s="4"/>
      <c r="V992" s="4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S993" s="4"/>
      <c r="T993" s="4"/>
      <c r="U993" s="4"/>
      <c r="V993" s="4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S994" s="4"/>
      <c r="T994" s="4"/>
      <c r="U994" s="4"/>
      <c r="V994" s="4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S995" s="4"/>
      <c r="T995" s="4"/>
      <c r="U995" s="4"/>
      <c r="V995" s="4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S996" s="4"/>
      <c r="T996" s="4"/>
      <c r="U996" s="4"/>
      <c r="V996" s="4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S997" s="4"/>
      <c r="T997" s="4"/>
      <c r="U997" s="4"/>
      <c r="V997" s="4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S998" s="4"/>
      <c r="T998" s="4"/>
      <c r="U998" s="4"/>
      <c r="V998" s="4"/>
    </row>
  </sheetData>
  <autoFilter ref="$AB$1:$AB$998"/>
  <mergeCells count="8">
    <mergeCell ref="B2:Z2"/>
    <mergeCell ref="B3:Z3"/>
    <mergeCell ref="A20:T20"/>
    <mergeCell ref="A21:O21"/>
    <mergeCell ref="A22:O22"/>
    <mergeCell ref="S50:Y74"/>
    <mergeCell ref="J86:O94"/>
    <mergeCell ref="J106:P119"/>
  </mergeCell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26.88"/>
    <col customWidth="1" min="2" max="26" width="8.5"/>
    <col customWidth="1" min="27" max="27" width="7.63"/>
  </cols>
  <sheetData>
    <row r="1">
      <c r="A1" s="60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60"/>
      <c r="B2" s="61" t="s">
        <v>37</v>
      </c>
      <c r="AA2" s="3"/>
    </row>
    <row r="3" ht="15.0" customHeight="1">
      <c r="A3" s="3"/>
      <c r="B3" s="62" t="s">
        <v>38</v>
      </c>
      <c r="AA3" s="3"/>
    </row>
    <row r="4">
      <c r="A4" s="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3"/>
      <c r="AA4" s="3"/>
    </row>
    <row r="5" ht="19.5" customHeight="1">
      <c r="A5" s="64"/>
      <c r="B5" s="65">
        <v>2000.0</v>
      </c>
      <c r="C5" s="65">
        <v>2001.0</v>
      </c>
      <c r="D5" s="65">
        <v>2002.0</v>
      </c>
      <c r="E5" s="66">
        <v>2003.0</v>
      </c>
      <c r="F5" s="66">
        <v>2004.0</v>
      </c>
      <c r="G5" s="65">
        <v>2005.0</v>
      </c>
      <c r="H5" s="66">
        <v>2006.0</v>
      </c>
      <c r="I5" s="65">
        <v>2007.0</v>
      </c>
      <c r="J5" s="67">
        <v>2008.0</v>
      </c>
      <c r="K5" s="65">
        <v>2009.0</v>
      </c>
      <c r="L5" s="67">
        <v>2010.0</v>
      </c>
      <c r="M5" s="65">
        <v>2011.0</v>
      </c>
      <c r="N5" s="67">
        <v>2012.0</v>
      </c>
      <c r="O5" s="65">
        <v>2013.0</v>
      </c>
      <c r="P5" s="67">
        <v>2014.0</v>
      </c>
      <c r="Q5" s="65">
        <v>2015.0</v>
      </c>
      <c r="R5" s="67">
        <v>2016.0</v>
      </c>
      <c r="S5" s="65">
        <v>2017.0</v>
      </c>
      <c r="T5" s="67">
        <v>2018.0</v>
      </c>
      <c r="U5" s="65">
        <v>2019.0</v>
      </c>
      <c r="V5" s="68">
        <v>2020.0</v>
      </c>
      <c r="W5" s="68">
        <v>2021.0</v>
      </c>
      <c r="X5" s="68">
        <v>2022.0</v>
      </c>
      <c r="Y5" s="68">
        <v>2023.0</v>
      </c>
      <c r="Z5" s="68">
        <v>2024.0</v>
      </c>
      <c r="AA5" s="69"/>
    </row>
    <row r="6" ht="15.0" customHeight="1">
      <c r="A6" s="70"/>
      <c r="B6" s="71"/>
      <c r="C6" s="72"/>
      <c r="D6" s="71"/>
      <c r="E6" s="72"/>
      <c r="F6" s="71"/>
      <c r="G6" s="72"/>
      <c r="H6" s="71"/>
      <c r="I6" s="72"/>
      <c r="J6" s="71"/>
      <c r="K6" s="72"/>
      <c r="L6" s="71"/>
      <c r="M6" s="72"/>
      <c r="N6" s="71"/>
      <c r="O6" s="72"/>
      <c r="P6" s="71"/>
      <c r="Q6" s="72"/>
      <c r="R6" s="73"/>
      <c r="S6" s="74"/>
      <c r="T6" s="74"/>
      <c r="U6" s="73"/>
      <c r="V6" s="74"/>
      <c r="W6" s="74"/>
      <c r="X6" s="74"/>
      <c r="Y6" s="74"/>
      <c r="Z6" s="74"/>
      <c r="AA6" s="3"/>
    </row>
    <row r="7" ht="19.5" customHeight="1">
      <c r="A7" s="75" t="s">
        <v>2</v>
      </c>
      <c r="B7" s="76">
        <f t="shared" ref="B7:Z7" si="1">SUM(B9:B13)</f>
        <v>100.01</v>
      </c>
      <c r="C7" s="77">
        <f t="shared" si="1"/>
        <v>100.01</v>
      </c>
      <c r="D7" s="76">
        <f t="shared" si="1"/>
        <v>100.01</v>
      </c>
      <c r="E7" s="77">
        <f t="shared" si="1"/>
        <v>100.01</v>
      </c>
      <c r="F7" s="76">
        <f t="shared" si="1"/>
        <v>100.01</v>
      </c>
      <c r="G7" s="77">
        <f t="shared" si="1"/>
        <v>100.01</v>
      </c>
      <c r="H7" s="76">
        <f t="shared" si="1"/>
        <v>100.01</v>
      </c>
      <c r="I7" s="77">
        <f t="shared" si="1"/>
        <v>100.01</v>
      </c>
      <c r="J7" s="76">
        <f t="shared" si="1"/>
        <v>100.01</v>
      </c>
      <c r="K7" s="77">
        <f t="shared" si="1"/>
        <v>100.01</v>
      </c>
      <c r="L7" s="76">
        <f t="shared" si="1"/>
        <v>100.01</v>
      </c>
      <c r="M7" s="77">
        <f t="shared" si="1"/>
        <v>100.01</v>
      </c>
      <c r="N7" s="76">
        <f t="shared" si="1"/>
        <v>100.01</v>
      </c>
      <c r="O7" s="77">
        <f t="shared" si="1"/>
        <v>100.01</v>
      </c>
      <c r="P7" s="76">
        <f t="shared" si="1"/>
        <v>100.02</v>
      </c>
      <c r="Q7" s="77">
        <f t="shared" si="1"/>
        <v>100.01</v>
      </c>
      <c r="R7" s="76">
        <f t="shared" si="1"/>
        <v>100.01</v>
      </c>
      <c r="S7" s="77">
        <f t="shared" si="1"/>
        <v>100.02</v>
      </c>
      <c r="T7" s="77">
        <f t="shared" si="1"/>
        <v>100.02</v>
      </c>
      <c r="U7" s="76">
        <f t="shared" si="1"/>
        <v>100.02</v>
      </c>
      <c r="V7" s="77">
        <f t="shared" si="1"/>
        <v>100.02</v>
      </c>
      <c r="W7" s="77">
        <f t="shared" si="1"/>
        <v>100.02</v>
      </c>
      <c r="X7" s="77">
        <f t="shared" si="1"/>
        <v>100.01</v>
      </c>
      <c r="Y7" s="77">
        <f t="shared" si="1"/>
        <v>100.01</v>
      </c>
      <c r="Z7" s="77">
        <f t="shared" si="1"/>
        <v>100.01</v>
      </c>
      <c r="AA7" s="3"/>
    </row>
    <row r="8" ht="15.0" customHeight="1">
      <c r="A8" s="78" t="s">
        <v>3</v>
      </c>
      <c r="B8" s="26"/>
      <c r="C8" s="79"/>
      <c r="D8" s="26"/>
      <c r="E8" s="79"/>
      <c r="F8" s="26"/>
      <c r="G8" s="79"/>
      <c r="H8" s="26"/>
      <c r="I8" s="79"/>
      <c r="J8" s="26"/>
      <c r="K8" s="79"/>
      <c r="L8" s="26"/>
      <c r="M8" s="79"/>
      <c r="N8" s="26"/>
      <c r="O8" s="79"/>
      <c r="P8" s="26"/>
      <c r="Q8" s="79"/>
      <c r="R8" s="26"/>
      <c r="S8" s="79"/>
      <c r="T8" s="79"/>
      <c r="U8" s="26"/>
      <c r="V8" s="79"/>
      <c r="W8" s="79"/>
      <c r="X8" s="79"/>
      <c r="Y8" s="79"/>
      <c r="Z8" s="79"/>
      <c r="AA8" s="3"/>
    </row>
    <row r="9" ht="19.5" customHeight="1">
      <c r="A9" s="80" t="s">
        <v>4</v>
      </c>
      <c r="B9" s="81">
        <v>13.2</v>
      </c>
      <c r="C9" s="82">
        <v>12.9</v>
      </c>
      <c r="D9" s="81">
        <v>12.8</v>
      </c>
      <c r="E9" s="82">
        <v>13.2</v>
      </c>
      <c r="F9" s="81">
        <v>13.6</v>
      </c>
      <c r="G9" s="82">
        <v>13.9</v>
      </c>
      <c r="H9" s="81">
        <v>14.1</v>
      </c>
      <c r="I9" s="82">
        <v>14.2</v>
      </c>
      <c r="J9" s="81">
        <v>13.8</v>
      </c>
      <c r="K9" s="82">
        <v>14.8</v>
      </c>
      <c r="L9" s="81">
        <v>16.9</v>
      </c>
      <c r="M9" s="82">
        <v>16.6</v>
      </c>
      <c r="N9" s="81">
        <v>16.7</v>
      </c>
      <c r="O9" s="82">
        <v>16.7</v>
      </c>
      <c r="P9" s="81">
        <v>17.2</v>
      </c>
      <c r="Q9" s="82">
        <v>16.8</v>
      </c>
      <c r="R9" s="81">
        <v>16.7</v>
      </c>
      <c r="S9" s="82">
        <v>17.1</v>
      </c>
      <c r="T9" s="82">
        <v>17.1</v>
      </c>
      <c r="U9" s="26">
        <v>16.6</v>
      </c>
      <c r="V9" s="79">
        <v>17.1</v>
      </c>
      <c r="W9" s="82">
        <v>17.0</v>
      </c>
      <c r="X9" s="79">
        <v>15.5</v>
      </c>
      <c r="Y9" s="79">
        <v>15.1</v>
      </c>
      <c r="Z9" s="79">
        <v>14.1</v>
      </c>
      <c r="AA9" s="3"/>
    </row>
    <row r="10" ht="19.5" customHeight="1">
      <c r="A10" s="80" t="s">
        <v>32</v>
      </c>
      <c r="B10" s="83">
        <v>0.01</v>
      </c>
      <c r="C10" s="84">
        <v>0.01</v>
      </c>
      <c r="D10" s="83">
        <v>0.01</v>
      </c>
      <c r="E10" s="84">
        <v>0.01</v>
      </c>
      <c r="F10" s="83">
        <v>0.01</v>
      </c>
      <c r="G10" s="84">
        <v>0.01</v>
      </c>
      <c r="H10" s="83">
        <v>0.01</v>
      </c>
      <c r="I10" s="84">
        <v>0.01</v>
      </c>
      <c r="J10" s="83">
        <v>0.01</v>
      </c>
      <c r="K10" s="84">
        <v>0.01</v>
      </c>
      <c r="L10" s="83">
        <v>0.01</v>
      </c>
      <c r="M10" s="84">
        <v>0.01</v>
      </c>
      <c r="N10" s="83">
        <v>0.01</v>
      </c>
      <c r="O10" s="84">
        <v>0.01</v>
      </c>
      <c r="P10" s="83">
        <v>0.02</v>
      </c>
      <c r="Q10" s="84">
        <v>0.01</v>
      </c>
      <c r="R10" s="83">
        <v>0.01</v>
      </c>
      <c r="S10" s="84">
        <v>0.02</v>
      </c>
      <c r="T10" s="85">
        <v>0.02</v>
      </c>
      <c r="U10" s="79">
        <v>0.02</v>
      </c>
      <c r="V10" s="86">
        <v>0.02</v>
      </c>
      <c r="W10" s="86">
        <v>0.02</v>
      </c>
      <c r="X10" s="86">
        <v>0.01</v>
      </c>
      <c r="Y10" s="86">
        <v>0.01</v>
      </c>
      <c r="Z10" s="86">
        <v>0.01</v>
      </c>
      <c r="AA10" s="3"/>
    </row>
    <row r="11" ht="19.5" customHeight="1">
      <c r="A11" s="80" t="s">
        <v>5</v>
      </c>
      <c r="B11" s="81">
        <v>74.39999999999999</v>
      </c>
      <c r="C11" s="82">
        <v>74.7</v>
      </c>
      <c r="D11" s="81">
        <v>74.8</v>
      </c>
      <c r="E11" s="82">
        <v>73.89999999999999</v>
      </c>
      <c r="F11" s="81">
        <v>73.2</v>
      </c>
      <c r="G11" s="82">
        <v>73.0</v>
      </c>
      <c r="H11" s="81">
        <v>72.6</v>
      </c>
      <c r="I11" s="82">
        <v>72.69999999999999</v>
      </c>
      <c r="J11" s="81">
        <v>72.9</v>
      </c>
      <c r="K11" s="82">
        <v>70.2</v>
      </c>
      <c r="L11" s="81">
        <v>67.6</v>
      </c>
      <c r="M11" s="82">
        <v>67.9</v>
      </c>
      <c r="N11" s="81">
        <v>68.5</v>
      </c>
      <c r="O11" s="82">
        <v>68.2</v>
      </c>
      <c r="P11" s="81">
        <v>67.60000000000001</v>
      </c>
      <c r="Q11" s="82">
        <v>67.8</v>
      </c>
      <c r="R11" s="81">
        <v>67.80000000000001</v>
      </c>
      <c r="S11" s="82">
        <v>67.0</v>
      </c>
      <c r="T11" s="87">
        <v>67.1</v>
      </c>
      <c r="U11" s="82">
        <v>68.0</v>
      </c>
      <c r="V11" s="88">
        <v>67.9</v>
      </c>
      <c r="W11" s="88">
        <v>67.6</v>
      </c>
      <c r="X11" s="88">
        <v>70.7</v>
      </c>
      <c r="Y11" s="88">
        <v>71.6</v>
      </c>
      <c r="Z11" s="88">
        <v>73.0</v>
      </c>
      <c r="AA11" s="3"/>
    </row>
    <row r="12" ht="19.5" customHeight="1">
      <c r="A12" s="80" t="s">
        <v>39</v>
      </c>
      <c r="B12" s="81">
        <v>1.9</v>
      </c>
      <c r="C12" s="82">
        <v>2.0</v>
      </c>
      <c r="D12" s="81">
        <v>1.8</v>
      </c>
      <c r="E12" s="82">
        <v>1.8</v>
      </c>
      <c r="F12" s="81">
        <v>1.8</v>
      </c>
      <c r="G12" s="82">
        <v>1.7</v>
      </c>
      <c r="H12" s="81">
        <v>1.8</v>
      </c>
      <c r="I12" s="82">
        <v>1.9</v>
      </c>
      <c r="J12" s="81">
        <v>2.0</v>
      </c>
      <c r="K12" s="82">
        <v>1.8</v>
      </c>
      <c r="L12" s="81">
        <v>1.8</v>
      </c>
      <c r="M12" s="82">
        <v>1.9</v>
      </c>
      <c r="N12" s="81">
        <v>1.9</v>
      </c>
      <c r="O12" s="82">
        <v>1.8</v>
      </c>
      <c r="P12" s="81">
        <v>1.7</v>
      </c>
      <c r="Q12" s="82">
        <v>1.8</v>
      </c>
      <c r="R12" s="81">
        <v>1.8</v>
      </c>
      <c r="S12" s="82">
        <v>1.8</v>
      </c>
      <c r="T12" s="87">
        <v>1.7</v>
      </c>
      <c r="U12" s="79">
        <v>1.6</v>
      </c>
      <c r="V12" s="89">
        <v>1.7</v>
      </c>
      <c r="W12" s="89">
        <v>1.6</v>
      </c>
      <c r="X12" s="89">
        <v>1.6</v>
      </c>
      <c r="Y12" s="89">
        <v>1.6</v>
      </c>
      <c r="Z12" s="89">
        <v>1.4</v>
      </c>
      <c r="AA12" s="3"/>
    </row>
    <row r="13" ht="19.5" customHeight="1">
      <c r="A13" s="90" t="s">
        <v>6</v>
      </c>
      <c r="B13" s="91">
        <v>10.5</v>
      </c>
      <c r="C13" s="92">
        <v>10.4</v>
      </c>
      <c r="D13" s="91">
        <v>10.6</v>
      </c>
      <c r="E13" s="92">
        <v>11.1</v>
      </c>
      <c r="F13" s="91">
        <v>11.4</v>
      </c>
      <c r="G13" s="92">
        <v>11.4</v>
      </c>
      <c r="H13" s="91">
        <v>11.5</v>
      </c>
      <c r="I13" s="92">
        <v>11.2</v>
      </c>
      <c r="J13" s="91">
        <v>11.3</v>
      </c>
      <c r="K13" s="92">
        <v>13.2</v>
      </c>
      <c r="L13" s="91">
        <v>13.7</v>
      </c>
      <c r="M13" s="92">
        <v>13.6</v>
      </c>
      <c r="N13" s="91">
        <v>12.9</v>
      </c>
      <c r="O13" s="92">
        <v>13.3</v>
      </c>
      <c r="P13" s="91">
        <v>13.5</v>
      </c>
      <c r="Q13" s="92">
        <v>13.6</v>
      </c>
      <c r="R13" s="91">
        <v>13.7</v>
      </c>
      <c r="S13" s="92">
        <v>14.1</v>
      </c>
      <c r="T13" s="93">
        <v>14.1</v>
      </c>
      <c r="U13" s="94">
        <v>13.8</v>
      </c>
      <c r="V13" s="95">
        <v>13.3</v>
      </c>
      <c r="W13" s="96">
        <v>13.8</v>
      </c>
      <c r="X13" s="96">
        <v>12.2</v>
      </c>
      <c r="Y13" s="96">
        <v>11.7</v>
      </c>
      <c r="Z13" s="96">
        <v>11.5</v>
      </c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1" t="s">
        <v>40</v>
      </c>
      <c r="U15" s="97"/>
      <c r="V15" s="3"/>
      <c r="W15" s="97"/>
      <c r="X15" s="97"/>
      <c r="Y15" s="97"/>
      <c r="Z15" s="98"/>
      <c r="AA15" s="98"/>
    </row>
    <row r="16">
      <c r="V16" s="3"/>
      <c r="Z16" s="44"/>
      <c r="AA16" s="98"/>
    </row>
    <row r="17">
      <c r="V17" s="3"/>
      <c r="Z17" s="44"/>
      <c r="AA17" s="98"/>
    </row>
    <row r="18">
      <c r="V18" s="3"/>
      <c r="Z18" s="44"/>
      <c r="AA18" s="98"/>
    </row>
    <row r="19">
      <c r="V19" s="3"/>
      <c r="Z19" s="44"/>
      <c r="AA19" s="98"/>
    </row>
    <row r="20">
      <c r="V20" s="3"/>
      <c r="Z20" s="99"/>
      <c r="AA20" s="100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B2:Z2"/>
    <mergeCell ref="B3:Z3"/>
    <mergeCell ref="A15:T15"/>
  </mergeCells>
  <hyperlinks>
    <hyperlink display="В содержание" location="null!A1" ref="A1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01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03" t="s">
        <v>41</v>
      </c>
    </row>
    <row r="3">
      <c r="A3" s="102"/>
      <c r="B3" s="104" t="s">
        <v>42</v>
      </c>
    </row>
    <row r="4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2"/>
    </row>
    <row r="5">
      <c r="A5" s="106"/>
      <c r="B5" s="107">
        <v>2000.0</v>
      </c>
      <c r="C5" s="107">
        <v>2001.0</v>
      </c>
      <c r="D5" s="107">
        <v>2002.0</v>
      </c>
      <c r="E5" s="107">
        <v>2003.0</v>
      </c>
      <c r="F5" s="107">
        <v>2004.0</v>
      </c>
      <c r="G5" s="107">
        <v>2005.0</v>
      </c>
      <c r="H5" s="107">
        <v>2006.0</v>
      </c>
      <c r="I5" s="107">
        <v>2007.0</v>
      </c>
      <c r="J5" s="107">
        <v>2008.0</v>
      </c>
      <c r="K5" s="107">
        <v>2009.0</v>
      </c>
      <c r="L5" s="107">
        <v>2010.0</v>
      </c>
      <c r="M5" s="107">
        <v>2011.0</v>
      </c>
      <c r="N5" s="107">
        <v>2012.0</v>
      </c>
      <c r="O5" s="107">
        <v>2013.0</v>
      </c>
      <c r="P5" s="107">
        <v>2014.0</v>
      </c>
      <c r="Q5" s="107">
        <v>2015.0</v>
      </c>
      <c r="R5" s="107">
        <v>2016.0</v>
      </c>
      <c r="S5" s="107">
        <v>2017.0</v>
      </c>
      <c r="T5" s="107">
        <v>2018.0</v>
      </c>
      <c r="U5" s="107">
        <v>2019.0</v>
      </c>
      <c r="V5" s="107">
        <v>2020.0</v>
      </c>
      <c r="W5" s="107">
        <v>2021.0</v>
      </c>
      <c r="X5" s="107" t="s">
        <v>43</v>
      </c>
      <c r="Y5" s="107" t="s">
        <v>44</v>
      </c>
      <c r="Z5" s="107" t="s">
        <v>45</v>
      </c>
    </row>
    <row r="6">
      <c r="A6" s="108"/>
      <c r="B6" s="109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1"/>
      <c r="R6" s="111"/>
      <c r="S6" s="111"/>
      <c r="T6" s="111"/>
      <c r="U6" s="111"/>
      <c r="V6" s="111"/>
      <c r="W6" s="111"/>
      <c r="X6" s="111"/>
      <c r="Y6" s="111"/>
      <c r="Z6" s="112"/>
    </row>
    <row r="7" ht="17.25" customHeight="1">
      <c r="A7" s="113" t="s">
        <v>2</v>
      </c>
      <c r="B7" s="114">
        <v>44838.5</v>
      </c>
      <c r="C7" s="115">
        <v>43987.8</v>
      </c>
      <c r="D7" s="115">
        <v>42611.7</v>
      </c>
      <c r="E7" s="115">
        <v>40088.8</v>
      </c>
      <c r="F7" s="115">
        <v>39109.2</v>
      </c>
      <c r="G7" s="115">
        <v>30122.0</v>
      </c>
      <c r="H7" s="115">
        <v>26640.3</v>
      </c>
      <c r="I7" s="115">
        <v>25307.0</v>
      </c>
      <c r="J7" s="115">
        <v>24950.2</v>
      </c>
      <c r="K7" s="115">
        <v>22844.0</v>
      </c>
      <c r="L7" s="115">
        <v>22034.5</v>
      </c>
      <c r="M7" s="115">
        <v>21886.6</v>
      </c>
      <c r="N7" s="115">
        <v>21340.8</v>
      </c>
      <c r="O7" s="115">
        <v>19620.8</v>
      </c>
      <c r="P7" s="115">
        <v>19536.3</v>
      </c>
      <c r="Q7" s="115">
        <v>19095.2</v>
      </c>
      <c r="R7" s="115">
        <v>18645.1</v>
      </c>
      <c r="S7" s="115">
        <v>18439.0</v>
      </c>
      <c r="T7" s="115">
        <v>18113.4</v>
      </c>
      <c r="U7" s="115">
        <v>17826.1</v>
      </c>
      <c r="V7" s="115">
        <v>12492.8</v>
      </c>
      <c r="W7" s="115">
        <v>13695.8</v>
      </c>
      <c r="X7" s="115">
        <v>14436.9</v>
      </c>
      <c r="Y7" s="115">
        <v>15177.5</v>
      </c>
      <c r="Z7" s="116">
        <v>15692.5</v>
      </c>
    </row>
    <row r="8" ht="17.25" customHeight="1">
      <c r="A8" s="117" t="s">
        <v>3</v>
      </c>
      <c r="B8" s="118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20"/>
    </row>
    <row r="9" ht="17.25" customHeight="1">
      <c r="A9" s="121" t="s">
        <v>4</v>
      </c>
      <c r="B9" s="122">
        <v>1418.8</v>
      </c>
      <c r="C9" s="123">
        <v>1305.9</v>
      </c>
      <c r="D9" s="123">
        <v>1270.7</v>
      </c>
      <c r="E9" s="123">
        <v>1303.5</v>
      </c>
      <c r="F9" s="123">
        <v>1335.1</v>
      </c>
      <c r="G9" s="123">
        <v>1338.7</v>
      </c>
      <c r="H9" s="123">
        <v>1338.6</v>
      </c>
      <c r="I9" s="123">
        <v>1281.9</v>
      </c>
      <c r="J9" s="123">
        <v>1295.6</v>
      </c>
      <c r="K9" s="123">
        <v>1136.9</v>
      </c>
      <c r="L9" s="123">
        <v>946.5</v>
      </c>
      <c r="M9" s="123">
        <v>993.1</v>
      </c>
      <c r="N9" s="123">
        <v>1059.0</v>
      </c>
      <c r="O9" s="123">
        <v>1080.0</v>
      </c>
      <c r="P9" s="123">
        <v>1076.4</v>
      </c>
      <c r="Q9" s="123">
        <v>1024.6</v>
      </c>
      <c r="R9" s="123">
        <v>1040.0</v>
      </c>
      <c r="S9" s="123">
        <v>1121.3</v>
      </c>
      <c r="T9" s="123">
        <v>1160.4</v>
      </c>
      <c r="U9" s="123">
        <v>1201.5</v>
      </c>
      <c r="V9" s="123">
        <v>875.8</v>
      </c>
      <c r="W9" s="123">
        <v>1059.3</v>
      </c>
      <c r="X9" s="123">
        <v>1142.5</v>
      </c>
      <c r="Y9" s="123">
        <v>1208.3</v>
      </c>
      <c r="Z9" s="124">
        <v>1295.0</v>
      </c>
    </row>
    <row r="10" ht="17.25" customHeight="1">
      <c r="A10" s="125" t="s">
        <v>46</v>
      </c>
      <c r="B10" s="122">
        <v>23001.1</v>
      </c>
      <c r="C10" s="123">
        <v>22462.2</v>
      </c>
      <c r="D10" s="123">
        <v>21920.6</v>
      </c>
      <c r="E10" s="123">
        <v>20912.3</v>
      </c>
      <c r="F10" s="123">
        <v>21018.3</v>
      </c>
      <c r="G10" s="123">
        <v>16374.0</v>
      </c>
      <c r="H10" s="123">
        <v>14733.6</v>
      </c>
      <c r="I10" s="123">
        <v>14794.9</v>
      </c>
      <c r="J10" s="123">
        <v>14717.8</v>
      </c>
      <c r="K10" s="123">
        <v>13704.4</v>
      </c>
      <c r="L10" s="123">
        <v>13433.7</v>
      </c>
      <c r="M10" s="123">
        <v>13304.9</v>
      </c>
      <c r="N10" s="123">
        <v>12766.2</v>
      </c>
      <c r="O10" s="123">
        <v>11586.8</v>
      </c>
      <c r="P10" s="123">
        <v>11554.3</v>
      </c>
      <c r="Q10" s="123">
        <v>11523.0</v>
      </c>
      <c r="R10" s="123">
        <v>11295.8</v>
      </c>
      <c r="S10" s="123">
        <v>11184.9</v>
      </c>
      <c r="T10" s="123">
        <v>10912.1</v>
      </c>
      <c r="U10" s="123">
        <v>10637.2</v>
      </c>
      <c r="V10" s="123">
        <v>7695.4</v>
      </c>
      <c r="W10" s="123">
        <v>8031.4</v>
      </c>
      <c r="X10" s="123">
        <v>8457.9</v>
      </c>
      <c r="Y10" s="123">
        <v>8975.6</v>
      </c>
      <c r="Z10" s="124">
        <v>9194.7</v>
      </c>
    </row>
    <row r="11" ht="17.25" customHeight="1">
      <c r="A11" s="117" t="s">
        <v>47</v>
      </c>
      <c r="B11" s="122">
        <v>7421.2</v>
      </c>
      <c r="C11" s="123">
        <v>7353.5</v>
      </c>
      <c r="D11" s="123">
        <v>6982.3</v>
      </c>
      <c r="E11" s="123">
        <v>6321.0</v>
      </c>
      <c r="F11" s="123">
        <v>5803.8</v>
      </c>
      <c r="G11" s="123">
        <v>4123.4</v>
      </c>
      <c r="H11" s="123">
        <v>3267.1</v>
      </c>
      <c r="I11" s="123">
        <v>2660.3</v>
      </c>
      <c r="J11" s="123">
        <v>2537.2</v>
      </c>
      <c r="K11" s="123">
        <v>2216.6</v>
      </c>
      <c r="L11" s="123">
        <v>2078.7</v>
      </c>
      <c r="M11" s="123">
        <v>2003.6</v>
      </c>
      <c r="N11" s="123">
        <v>1928.3</v>
      </c>
      <c r="O11" s="123">
        <v>1629.0</v>
      </c>
      <c r="P11" s="123">
        <v>1551.4</v>
      </c>
      <c r="Q11" s="123">
        <v>1477.9</v>
      </c>
      <c r="R11" s="123">
        <v>1396.6</v>
      </c>
      <c r="S11" s="123">
        <v>1326.9</v>
      </c>
      <c r="T11" s="123">
        <v>1259.4</v>
      </c>
      <c r="U11" s="123">
        <v>1240.3</v>
      </c>
      <c r="V11" s="123">
        <v>889.4</v>
      </c>
      <c r="W11" s="123">
        <v>992.1</v>
      </c>
      <c r="X11" s="123">
        <v>998.8</v>
      </c>
      <c r="Y11" s="123">
        <v>993.5</v>
      </c>
      <c r="Z11" s="124">
        <v>1032.0</v>
      </c>
    </row>
    <row r="12" ht="17.25" customHeight="1">
      <c r="A12" s="121" t="s">
        <v>48</v>
      </c>
      <c r="B12" s="122">
        <v>8759.3</v>
      </c>
      <c r="C12" s="123">
        <v>8604.3</v>
      </c>
      <c r="D12" s="123">
        <v>8181.1</v>
      </c>
      <c r="E12" s="123">
        <v>7290.8</v>
      </c>
      <c r="F12" s="123">
        <v>6679.7</v>
      </c>
      <c r="G12" s="123">
        <v>4653.1</v>
      </c>
      <c r="H12" s="123">
        <v>3774.6</v>
      </c>
      <c r="I12" s="123">
        <v>2971.9</v>
      </c>
      <c r="J12" s="123">
        <v>2733.0</v>
      </c>
      <c r="K12" s="123">
        <v>2414.0</v>
      </c>
      <c r="L12" s="123">
        <v>2205.7</v>
      </c>
      <c r="M12" s="123">
        <v>2152.2</v>
      </c>
      <c r="N12" s="123">
        <v>2051.2</v>
      </c>
      <c r="O12" s="123">
        <v>1735.1</v>
      </c>
      <c r="P12" s="123">
        <v>1803.1</v>
      </c>
      <c r="Q12" s="123">
        <v>1616.5</v>
      </c>
      <c r="R12" s="123">
        <v>1483.1</v>
      </c>
      <c r="S12" s="123">
        <v>1375.7</v>
      </c>
      <c r="T12" s="123">
        <v>1262.8</v>
      </c>
      <c r="U12" s="123">
        <v>1148.1</v>
      </c>
      <c r="V12" s="123">
        <v>759.6</v>
      </c>
      <c r="W12" s="123">
        <v>807.9</v>
      </c>
      <c r="X12" s="123">
        <v>830.8</v>
      </c>
      <c r="Y12" s="123">
        <v>856.9</v>
      </c>
      <c r="Z12" s="124">
        <v>896.4</v>
      </c>
    </row>
    <row r="13" ht="17.25" customHeight="1">
      <c r="A13" s="121" t="s">
        <v>49</v>
      </c>
      <c r="B13" s="122">
        <v>4186.4</v>
      </c>
      <c r="C13" s="123">
        <v>4204.6</v>
      </c>
      <c r="D13" s="123">
        <v>4199.5</v>
      </c>
      <c r="E13" s="123">
        <v>4204.7</v>
      </c>
      <c r="F13" s="123">
        <v>4210.6</v>
      </c>
      <c r="G13" s="123">
        <v>3574.3</v>
      </c>
      <c r="H13" s="123">
        <v>3465.7</v>
      </c>
      <c r="I13" s="123">
        <v>3528.4</v>
      </c>
      <c r="J13" s="123">
        <v>3593.7</v>
      </c>
      <c r="K13" s="123">
        <v>3306.6</v>
      </c>
      <c r="L13" s="123">
        <v>3293.7</v>
      </c>
      <c r="M13" s="123">
        <v>3351.3</v>
      </c>
      <c r="N13" s="123">
        <v>3445.6</v>
      </c>
      <c r="O13" s="123">
        <v>3490.7</v>
      </c>
      <c r="P13" s="123">
        <v>3436.6</v>
      </c>
      <c r="Q13" s="123">
        <v>3336.5</v>
      </c>
      <c r="R13" s="123">
        <v>3311.7</v>
      </c>
      <c r="S13" s="123">
        <v>3298.0</v>
      </c>
      <c r="T13" s="123">
        <v>3380.6</v>
      </c>
      <c r="U13" s="123">
        <v>3450.9</v>
      </c>
      <c r="V13" s="123">
        <v>2189.1</v>
      </c>
      <c r="W13" s="123">
        <v>2680.0</v>
      </c>
      <c r="X13" s="123">
        <v>2897.9</v>
      </c>
      <c r="Y13" s="123">
        <v>3023.1</v>
      </c>
      <c r="Z13" s="124">
        <v>3147.7</v>
      </c>
    </row>
    <row r="14" ht="17.25" customHeight="1">
      <c r="A14" s="117" t="s">
        <v>50</v>
      </c>
      <c r="B14" s="122">
        <v>1.1</v>
      </c>
      <c r="C14" s="123">
        <v>0.8</v>
      </c>
      <c r="D14" s="123">
        <v>0.7</v>
      </c>
      <c r="E14" s="123">
        <v>1.2</v>
      </c>
      <c r="F14" s="123">
        <v>1.1</v>
      </c>
      <c r="G14" s="123">
        <v>1.3</v>
      </c>
      <c r="H14" s="123">
        <v>1.4</v>
      </c>
      <c r="I14" s="123">
        <v>1.4</v>
      </c>
      <c r="J14" s="123">
        <v>1.4</v>
      </c>
      <c r="K14" s="123">
        <v>1.5</v>
      </c>
      <c r="L14" s="123">
        <v>1.5</v>
      </c>
      <c r="M14" s="123">
        <v>1.3</v>
      </c>
      <c r="N14" s="123">
        <v>1.1</v>
      </c>
      <c r="O14" s="123">
        <v>0.5</v>
      </c>
      <c r="P14" s="123">
        <v>6.9</v>
      </c>
      <c r="Q14" s="123">
        <v>9.6</v>
      </c>
      <c r="R14" s="123">
        <v>13.0</v>
      </c>
      <c r="S14" s="123">
        <v>11.7</v>
      </c>
      <c r="T14" s="123">
        <v>7.5</v>
      </c>
      <c r="U14" s="123">
        <v>6.0</v>
      </c>
      <c r="V14" s="123">
        <v>4.6</v>
      </c>
      <c r="W14" s="123">
        <v>4.5</v>
      </c>
      <c r="X14" s="123">
        <v>3.4</v>
      </c>
      <c r="Y14" s="123">
        <v>2.7</v>
      </c>
      <c r="Z14" s="124">
        <v>1.6</v>
      </c>
    </row>
    <row r="15" ht="17.25" customHeight="1">
      <c r="A15" s="121" t="s">
        <v>51</v>
      </c>
      <c r="B15" s="122">
        <v>27.7</v>
      </c>
      <c r="C15" s="123">
        <v>30.0</v>
      </c>
      <c r="D15" s="123">
        <v>28.8</v>
      </c>
      <c r="E15" s="123">
        <v>24.4</v>
      </c>
      <c r="F15" s="123">
        <v>25.5</v>
      </c>
      <c r="G15" s="123">
        <v>20.7</v>
      </c>
      <c r="H15" s="123">
        <v>19.6</v>
      </c>
      <c r="I15" s="123">
        <v>21.5</v>
      </c>
      <c r="J15" s="123">
        <v>19.9</v>
      </c>
      <c r="K15" s="123">
        <v>17.2</v>
      </c>
      <c r="L15" s="123">
        <v>16.1</v>
      </c>
      <c r="M15" s="123">
        <v>14.2</v>
      </c>
      <c r="N15" s="123">
        <v>13.7</v>
      </c>
      <c r="O15" s="123">
        <v>13.0</v>
      </c>
      <c r="P15" s="123">
        <v>12.6</v>
      </c>
      <c r="Q15" s="123">
        <v>13.6</v>
      </c>
      <c r="R15" s="123">
        <v>13.5</v>
      </c>
      <c r="S15" s="123">
        <v>12.7</v>
      </c>
      <c r="T15" s="123">
        <v>12.3</v>
      </c>
      <c r="U15" s="123">
        <v>11.1</v>
      </c>
      <c r="V15" s="123">
        <v>7.7</v>
      </c>
      <c r="W15" s="123">
        <v>8.6</v>
      </c>
      <c r="X15" s="123">
        <v>9.1</v>
      </c>
      <c r="Y15" s="123">
        <v>10.6</v>
      </c>
      <c r="Z15" s="124">
        <v>12.1</v>
      </c>
    </row>
    <row r="16" ht="17.25" customHeight="1">
      <c r="A16" s="126" t="s">
        <v>52</v>
      </c>
      <c r="B16" s="127">
        <v>23.0</v>
      </c>
      <c r="C16" s="128">
        <v>26.4</v>
      </c>
      <c r="D16" s="128">
        <v>28.0</v>
      </c>
      <c r="E16" s="128">
        <v>30.9</v>
      </c>
      <c r="F16" s="128">
        <v>35.2</v>
      </c>
      <c r="G16" s="128">
        <v>36.5</v>
      </c>
      <c r="H16" s="128">
        <v>39.5</v>
      </c>
      <c r="I16" s="128">
        <v>46.8</v>
      </c>
      <c r="J16" s="128">
        <v>51.5</v>
      </c>
      <c r="K16" s="128">
        <v>46.6</v>
      </c>
      <c r="L16" s="128">
        <v>58.6</v>
      </c>
      <c r="M16" s="128">
        <v>66.0</v>
      </c>
      <c r="N16" s="128">
        <v>76.1</v>
      </c>
      <c r="O16" s="128">
        <v>86.3</v>
      </c>
      <c r="P16" s="128">
        <v>95.0</v>
      </c>
      <c r="Q16" s="128">
        <v>93.6</v>
      </c>
      <c r="R16" s="128">
        <v>91.3</v>
      </c>
      <c r="S16" s="128">
        <v>107.8</v>
      </c>
      <c r="T16" s="128">
        <v>118.4</v>
      </c>
      <c r="U16" s="128">
        <v>130.9</v>
      </c>
      <c r="V16" s="128">
        <v>71.1</v>
      </c>
      <c r="W16" s="128">
        <v>111.9</v>
      </c>
      <c r="X16" s="128">
        <v>96.4</v>
      </c>
      <c r="Y16" s="128">
        <v>106.7</v>
      </c>
      <c r="Z16" s="129">
        <v>113.1</v>
      </c>
    </row>
    <row r="17" ht="17.25" customHeight="1"/>
    <row r="18" ht="17.25" customHeight="1"/>
    <row r="26">
      <c r="A26" s="12"/>
      <c r="B26" s="12" t="s">
        <v>18</v>
      </c>
      <c r="C26" s="12" t="s">
        <v>19</v>
      </c>
      <c r="D26" s="12" t="s">
        <v>20</v>
      </c>
      <c r="E26" s="12" t="s">
        <v>21</v>
      </c>
      <c r="F26" s="12" t="s">
        <v>22</v>
      </c>
    </row>
    <row r="27">
      <c r="A27" s="12" t="s">
        <v>23</v>
      </c>
      <c r="B27" s="46">
        <f>AVERAGE(B7:F7)</f>
        <v>42127.2</v>
      </c>
      <c r="C27" s="46">
        <f>AVERAGE(G7:K7)</f>
        <v>25972.7</v>
      </c>
      <c r="D27" s="46">
        <f>AVERAGE(L7:P7)</f>
        <v>20883.8</v>
      </c>
      <c r="E27" s="46">
        <f>AVERAGE(Q7:U7)</f>
        <v>18423.76</v>
      </c>
      <c r="F27" s="46">
        <f>AVERAGE(V7:Z7)</f>
        <v>14299.1</v>
      </c>
    </row>
    <row r="28">
      <c r="A28" s="12" t="s">
        <v>24</v>
      </c>
      <c r="B28" s="49">
        <f>MEDIAN(B7:F7)</f>
        <v>42611.7</v>
      </c>
      <c r="C28" s="49">
        <f>MEDIAN(G7:K7)</f>
        <v>25307</v>
      </c>
      <c r="D28" s="49">
        <f>MEDIAN(L7:P7)</f>
        <v>21340.8</v>
      </c>
      <c r="E28" s="49">
        <f>MEDIAN(Q7:U7)</f>
        <v>18439</v>
      </c>
      <c r="F28" s="49">
        <f>MEDIAN(V7:Z7)</f>
        <v>14436.9</v>
      </c>
    </row>
    <row r="29">
      <c r="A29" s="12" t="s">
        <v>25</v>
      </c>
      <c r="B29" s="50">
        <f>MIN(B7:F7)</f>
        <v>39109.2</v>
      </c>
      <c r="C29" s="50">
        <f>MIN(G7:K7)</f>
        <v>22844</v>
      </c>
      <c r="D29" s="50">
        <f>MIN(L7:P7)</f>
        <v>19536.3</v>
      </c>
      <c r="E29" s="50">
        <f>MIN(Q7:U7)</f>
        <v>17826.1</v>
      </c>
      <c r="F29" s="50">
        <f>MIN(V7:Z7)</f>
        <v>12492.8</v>
      </c>
    </row>
    <row r="30">
      <c r="A30" s="12" t="s">
        <v>26</v>
      </c>
      <c r="B30" s="49">
        <f>MAX(B7:F7)</f>
        <v>44838.5</v>
      </c>
      <c r="C30" s="49">
        <f>MAX(G7:K7)</f>
        <v>30122</v>
      </c>
      <c r="D30" s="49">
        <f>MAX(L7:P7)</f>
        <v>22034.5</v>
      </c>
      <c r="E30" s="49">
        <f>MAX(Q7:U7)</f>
        <v>19095.2</v>
      </c>
      <c r="F30" s="49">
        <f>MAX(V7:Z7)</f>
        <v>15692.5</v>
      </c>
    </row>
    <row r="31">
      <c r="A31" s="12" t="s">
        <v>27</v>
      </c>
      <c r="B31" s="23"/>
      <c r="C31" s="51">
        <f t="shared" ref="C31:F31" si="1">((C27 - B27) / B27) * 100</f>
        <v>-38.34695873</v>
      </c>
      <c r="D31" s="51">
        <f t="shared" si="1"/>
        <v>-19.59326524</v>
      </c>
      <c r="E31" s="51">
        <f t="shared" si="1"/>
        <v>-11.77965696</v>
      </c>
      <c r="F31" s="51">
        <f t="shared" si="1"/>
        <v>-22.38772107</v>
      </c>
    </row>
    <row r="36">
      <c r="A36" s="12" t="s">
        <v>53</v>
      </c>
      <c r="B36" s="107">
        <v>2000.0</v>
      </c>
      <c r="C36" s="107">
        <v>2001.0</v>
      </c>
      <c r="D36" s="107">
        <v>2002.0</v>
      </c>
      <c r="E36" s="107">
        <v>2003.0</v>
      </c>
      <c r="F36" s="107">
        <v>2004.0</v>
      </c>
      <c r="G36" s="107">
        <v>2005.0</v>
      </c>
      <c r="H36" s="107">
        <v>2006.0</v>
      </c>
      <c r="I36" s="107">
        <v>2007.0</v>
      </c>
      <c r="J36" s="107">
        <v>2008.0</v>
      </c>
      <c r="K36" s="107">
        <v>2009.0</v>
      </c>
      <c r="L36" s="107">
        <v>2010.0</v>
      </c>
      <c r="M36" s="107">
        <v>2011.0</v>
      </c>
      <c r="N36" s="107">
        <v>2012.0</v>
      </c>
      <c r="O36" s="107">
        <v>2013.0</v>
      </c>
      <c r="P36" s="107">
        <v>2014.0</v>
      </c>
      <c r="Q36" s="107">
        <v>2015.0</v>
      </c>
      <c r="R36" s="107">
        <v>2016.0</v>
      </c>
      <c r="S36" s="107">
        <v>2017.0</v>
      </c>
      <c r="T36" s="107">
        <v>2018.0</v>
      </c>
      <c r="U36" s="107">
        <v>2019.0</v>
      </c>
      <c r="V36" s="107">
        <v>2020.0</v>
      </c>
      <c r="W36" s="107">
        <v>2021.0</v>
      </c>
      <c r="X36" s="107" t="s">
        <v>54</v>
      </c>
      <c r="Y36" s="107" t="s">
        <v>55</v>
      </c>
      <c r="Z36" s="107" t="s">
        <v>56</v>
      </c>
    </row>
    <row r="37">
      <c r="A37" s="121" t="s">
        <v>4</v>
      </c>
      <c r="B37" s="130">
        <f t="shared" ref="B37:Z37" si="2">B9/B7*100</f>
        <v>3.164245013</v>
      </c>
      <c r="C37" s="130">
        <f t="shared" si="2"/>
        <v>2.968777707</v>
      </c>
      <c r="D37" s="130">
        <f t="shared" si="2"/>
        <v>2.982044837</v>
      </c>
      <c r="E37" s="130">
        <f t="shared" si="2"/>
        <v>3.2515316</v>
      </c>
      <c r="F37" s="130">
        <f t="shared" si="2"/>
        <v>3.413774764</v>
      </c>
      <c r="G37" s="130">
        <f t="shared" si="2"/>
        <v>4.444260009</v>
      </c>
      <c r="H37" s="130">
        <f t="shared" si="2"/>
        <v>5.02471819</v>
      </c>
      <c r="I37" s="130">
        <f t="shared" si="2"/>
        <v>5.065396926</v>
      </c>
      <c r="J37" s="130">
        <f t="shared" si="2"/>
        <v>5.192743946</v>
      </c>
      <c r="K37" s="130">
        <f t="shared" si="2"/>
        <v>4.97679916</v>
      </c>
      <c r="L37" s="130">
        <f t="shared" si="2"/>
        <v>4.295536545</v>
      </c>
      <c r="M37" s="130">
        <f t="shared" si="2"/>
        <v>4.537479554</v>
      </c>
      <c r="N37" s="130">
        <f t="shared" si="2"/>
        <v>4.962325686</v>
      </c>
      <c r="O37" s="130">
        <f t="shared" si="2"/>
        <v>5.504362717</v>
      </c>
      <c r="P37" s="130">
        <f t="shared" si="2"/>
        <v>5.509743401</v>
      </c>
      <c r="Q37" s="130">
        <f t="shared" si="2"/>
        <v>5.365746366</v>
      </c>
      <c r="R37" s="130">
        <f t="shared" si="2"/>
        <v>5.577873007</v>
      </c>
      <c r="S37" s="130">
        <f t="shared" si="2"/>
        <v>6.081132382</v>
      </c>
      <c r="T37" s="130">
        <f t="shared" si="2"/>
        <v>6.406306933</v>
      </c>
      <c r="U37" s="130">
        <f t="shared" si="2"/>
        <v>6.740117019</v>
      </c>
      <c r="V37" s="130">
        <f t="shared" si="2"/>
        <v>7.010438012</v>
      </c>
      <c r="W37" s="130">
        <f t="shared" si="2"/>
        <v>7.734487945</v>
      </c>
      <c r="X37" s="130">
        <f t="shared" si="2"/>
        <v>7.913748796</v>
      </c>
      <c r="Y37" s="130">
        <f t="shared" si="2"/>
        <v>7.961126668</v>
      </c>
      <c r="Z37" s="130">
        <f t="shared" si="2"/>
        <v>8.252349849</v>
      </c>
    </row>
    <row r="38">
      <c r="A38" s="125" t="s">
        <v>57</v>
      </c>
      <c r="B38" s="130">
        <f t="shared" ref="B38:Z38" si="3">B10/B7*100</f>
        <v>51.29765715</v>
      </c>
      <c r="C38" s="130">
        <f t="shared" si="3"/>
        <v>51.06461337</v>
      </c>
      <c r="D38" s="130">
        <f t="shared" si="3"/>
        <v>51.44267889</v>
      </c>
      <c r="E38" s="130">
        <f t="shared" si="3"/>
        <v>52.16494382</v>
      </c>
      <c r="F38" s="130">
        <f t="shared" si="3"/>
        <v>53.74259765</v>
      </c>
      <c r="G38" s="130">
        <f t="shared" si="3"/>
        <v>54.35894031</v>
      </c>
      <c r="H38" s="130">
        <f t="shared" si="3"/>
        <v>55.30568349</v>
      </c>
      <c r="I38" s="130">
        <f t="shared" si="3"/>
        <v>58.46169044</v>
      </c>
      <c r="J38" s="130">
        <f t="shared" si="3"/>
        <v>58.9887055</v>
      </c>
      <c r="K38" s="130">
        <f t="shared" si="3"/>
        <v>59.99124497</v>
      </c>
      <c r="L38" s="130">
        <f t="shared" si="3"/>
        <v>60.96666591</v>
      </c>
      <c r="M38" s="130">
        <f t="shared" si="3"/>
        <v>60.79016384</v>
      </c>
      <c r="N38" s="130">
        <f t="shared" si="3"/>
        <v>59.82062528</v>
      </c>
      <c r="O38" s="130">
        <f t="shared" si="3"/>
        <v>59.05365734</v>
      </c>
      <c r="P38" s="130">
        <f t="shared" si="3"/>
        <v>59.14272406</v>
      </c>
      <c r="Q38" s="130">
        <f t="shared" si="3"/>
        <v>60.34500817</v>
      </c>
      <c r="R38" s="130">
        <f t="shared" si="3"/>
        <v>60.58320953</v>
      </c>
      <c r="S38" s="130">
        <f t="shared" si="3"/>
        <v>60.65892944</v>
      </c>
      <c r="T38" s="130">
        <f t="shared" si="3"/>
        <v>60.24324533</v>
      </c>
      <c r="U38" s="130">
        <f t="shared" si="3"/>
        <v>59.6720539</v>
      </c>
      <c r="V38" s="130">
        <f t="shared" si="3"/>
        <v>61.59868084</v>
      </c>
      <c r="W38" s="130">
        <f t="shared" si="3"/>
        <v>58.6413353</v>
      </c>
      <c r="X38" s="130">
        <f t="shared" si="3"/>
        <v>58.58529186</v>
      </c>
      <c r="Y38" s="130">
        <f t="shared" si="3"/>
        <v>59.13753912</v>
      </c>
      <c r="Z38" s="130">
        <f t="shared" si="3"/>
        <v>58.59295842</v>
      </c>
    </row>
    <row r="39">
      <c r="A39" s="117" t="s">
        <v>47</v>
      </c>
      <c r="B39" s="130">
        <f t="shared" ref="B39:Z39" si="4">B11/B7*100</f>
        <v>16.55095509</v>
      </c>
      <c r="C39" s="130">
        <f t="shared" si="4"/>
        <v>16.71713521</v>
      </c>
      <c r="D39" s="130">
        <f t="shared" si="4"/>
        <v>16.38587524</v>
      </c>
      <c r="E39" s="130">
        <f t="shared" si="4"/>
        <v>15.76749616</v>
      </c>
      <c r="F39" s="130">
        <f t="shared" si="4"/>
        <v>14.8399865</v>
      </c>
      <c r="G39" s="130">
        <f t="shared" si="4"/>
        <v>13.68899807</v>
      </c>
      <c r="H39" s="130">
        <f t="shared" si="4"/>
        <v>12.26375078</v>
      </c>
      <c r="I39" s="130">
        <f t="shared" si="4"/>
        <v>10.51211127</v>
      </c>
      <c r="J39" s="130">
        <f t="shared" si="4"/>
        <v>10.16905676</v>
      </c>
      <c r="K39" s="130">
        <f t="shared" si="4"/>
        <v>9.703204342</v>
      </c>
      <c r="L39" s="130">
        <f t="shared" si="4"/>
        <v>9.433842384</v>
      </c>
      <c r="M39" s="130">
        <f t="shared" si="4"/>
        <v>9.154459806</v>
      </c>
      <c r="N39" s="130">
        <f t="shared" si="4"/>
        <v>9.03574374</v>
      </c>
      <c r="O39" s="130">
        <f t="shared" si="4"/>
        <v>8.302413765</v>
      </c>
      <c r="P39" s="130">
        <f t="shared" si="4"/>
        <v>7.941114745</v>
      </c>
      <c r="Q39" s="130">
        <f t="shared" si="4"/>
        <v>7.739641376</v>
      </c>
      <c r="R39" s="130">
        <f t="shared" si="4"/>
        <v>7.490439847</v>
      </c>
      <c r="S39" s="130">
        <f t="shared" si="4"/>
        <v>7.196160312</v>
      </c>
      <c r="T39" s="130">
        <f t="shared" si="4"/>
        <v>6.952863626</v>
      </c>
      <c r="U39" s="130">
        <f t="shared" si="4"/>
        <v>6.957775397</v>
      </c>
      <c r="V39" s="130">
        <f t="shared" si="4"/>
        <v>7.119300717</v>
      </c>
      <c r="W39" s="130">
        <f t="shared" si="4"/>
        <v>7.243826575</v>
      </c>
      <c r="X39" s="130">
        <f t="shared" si="4"/>
        <v>6.918382755</v>
      </c>
      <c r="Y39" s="130">
        <f t="shared" si="4"/>
        <v>6.545873826</v>
      </c>
      <c r="Z39" s="130">
        <f t="shared" si="4"/>
        <v>6.576389995</v>
      </c>
    </row>
    <row r="40">
      <c r="A40" s="121" t="s">
        <v>48</v>
      </c>
      <c r="B40" s="130">
        <f t="shared" ref="B40:Z40" si="5">B12/B7*100</f>
        <v>19.53522085</v>
      </c>
      <c r="C40" s="130">
        <f t="shared" si="5"/>
        <v>19.56065091</v>
      </c>
      <c r="D40" s="130">
        <f t="shared" si="5"/>
        <v>19.19918708</v>
      </c>
      <c r="E40" s="130">
        <f t="shared" si="5"/>
        <v>18.18662569</v>
      </c>
      <c r="F40" s="130">
        <f t="shared" si="5"/>
        <v>17.07961298</v>
      </c>
      <c r="G40" s="130">
        <f t="shared" si="5"/>
        <v>15.44751345</v>
      </c>
      <c r="H40" s="130">
        <f t="shared" si="5"/>
        <v>14.16875936</v>
      </c>
      <c r="I40" s="130">
        <f t="shared" si="5"/>
        <v>11.74339116</v>
      </c>
      <c r="J40" s="130">
        <f t="shared" si="5"/>
        <v>10.95382001</v>
      </c>
      <c r="K40" s="130">
        <f t="shared" si="5"/>
        <v>10.56732621</v>
      </c>
      <c r="L40" s="130">
        <f t="shared" si="5"/>
        <v>10.01021126</v>
      </c>
      <c r="M40" s="130">
        <f t="shared" si="5"/>
        <v>9.833414052</v>
      </c>
      <c r="N40" s="130">
        <f t="shared" si="5"/>
        <v>9.611635927</v>
      </c>
      <c r="O40" s="130">
        <f t="shared" si="5"/>
        <v>8.843166436</v>
      </c>
      <c r="P40" s="130">
        <f t="shared" si="5"/>
        <v>9.229485624</v>
      </c>
      <c r="Q40" s="130">
        <f t="shared" si="5"/>
        <v>8.465478235</v>
      </c>
      <c r="R40" s="130">
        <f t="shared" si="5"/>
        <v>7.954368708</v>
      </c>
      <c r="S40" s="130">
        <f t="shared" si="5"/>
        <v>7.460816747</v>
      </c>
      <c r="T40" s="130">
        <f t="shared" si="5"/>
        <v>6.97163426</v>
      </c>
      <c r="U40" s="130">
        <f t="shared" si="5"/>
        <v>6.440556263</v>
      </c>
      <c r="V40" s="130">
        <f t="shared" si="5"/>
        <v>6.080302254</v>
      </c>
      <c r="W40" s="130">
        <f t="shared" si="5"/>
        <v>5.89888871</v>
      </c>
      <c r="X40" s="130">
        <f t="shared" si="5"/>
        <v>5.754698031</v>
      </c>
      <c r="Y40" s="130">
        <f t="shared" si="5"/>
        <v>5.645857355</v>
      </c>
      <c r="Z40" s="130">
        <f t="shared" si="5"/>
        <v>5.712282938</v>
      </c>
    </row>
    <row r="41">
      <c r="A41" s="121" t="s">
        <v>49</v>
      </c>
      <c r="B41" s="130">
        <f t="shared" ref="B41:Z41" si="6">B13/B7*100</f>
        <v>9.3366192</v>
      </c>
      <c r="C41" s="130">
        <f t="shared" si="6"/>
        <v>9.558559419</v>
      </c>
      <c r="D41" s="130">
        <f t="shared" si="6"/>
        <v>9.85527449</v>
      </c>
      <c r="E41" s="130">
        <f t="shared" si="6"/>
        <v>10.48846561</v>
      </c>
      <c r="F41" s="130">
        <f t="shared" si="6"/>
        <v>10.76626472</v>
      </c>
      <c r="G41" s="130">
        <f t="shared" si="6"/>
        <v>11.86607795</v>
      </c>
      <c r="H41" s="130">
        <f t="shared" si="6"/>
        <v>13.00923788</v>
      </c>
      <c r="I41" s="130">
        <f t="shared" si="6"/>
        <v>13.94238748</v>
      </c>
      <c r="J41" s="130">
        <f t="shared" si="6"/>
        <v>14.40349176</v>
      </c>
      <c r="K41" s="130">
        <f t="shared" si="6"/>
        <v>14.47469795</v>
      </c>
      <c r="L41" s="130">
        <f t="shared" si="6"/>
        <v>14.94792258</v>
      </c>
      <c r="M41" s="130">
        <f t="shared" si="6"/>
        <v>15.31210878</v>
      </c>
      <c r="N41" s="130">
        <f t="shared" si="6"/>
        <v>16.14559904</v>
      </c>
      <c r="O41" s="130">
        <f t="shared" si="6"/>
        <v>17.79081383</v>
      </c>
      <c r="P41" s="130">
        <f t="shared" si="6"/>
        <v>17.59084371</v>
      </c>
      <c r="Q41" s="130">
        <f t="shared" si="6"/>
        <v>17.4729775</v>
      </c>
      <c r="R41" s="130">
        <f t="shared" si="6"/>
        <v>17.76177119</v>
      </c>
      <c r="S41" s="130">
        <f t="shared" si="6"/>
        <v>17.88600249</v>
      </c>
      <c r="T41" s="130">
        <f t="shared" si="6"/>
        <v>18.66353087</v>
      </c>
      <c r="U41" s="130">
        <f t="shared" si="6"/>
        <v>19.35869315</v>
      </c>
      <c r="V41" s="130">
        <f t="shared" si="6"/>
        <v>17.52289319</v>
      </c>
      <c r="W41" s="130">
        <f t="shared" si="6"/>
        <v>19.56804276</v>
      </c>
      <c r="X41" s="130">
        <f t="shared" si="6"/>
        <v>20.07286883</v>
      </c>
      <c r="Y41" s="130">
        <f t="shared" si="6"/>
        <v>19.91830012</v>
      </c>
      <c r="Z41" s="130">
        <f t="shared" si="6"/>
        <v>20.05862673</v>
      </c>
    </row>
    <row r="42">
      <c r="A42" s="117" t="s">
        <v>58</v>
      </c>
      <c r="B42" s="130">
        <f t="shared" ref="B42:Z42" si="7">B14/B7*100</f>
        <v>0.002453248882</v>
      </c>
      <c r="C42" s="130">
        <f t="shared" si="7"/>
        <v>0.00181868609</v>
      </c>
      <c r="D42" s="130">
        <f t="shared" si="7"/>
        <v>0.001642741313</v>
      </c>
      <c r="E42" s="130">
        <f t="shared" si="7"/>
        <v>0.002993354752</v>
      </c>
      <c r="F42" s="130">
        <f t="shared" si="7"/>
        <v>0.002812637436</v>
      </c>
      <c r="G42" s="130">
        <f t="shared" si="7"/>
        <v>0.004315782485</v>
      </c>
      <c r="H42" s="130">
        <f t="shared" si="7"/>
        <v>0.005255196075</v>
      </c>
      <c r="I42" s="130">
        <f t="shared" si="7"/>
        <v>0.005532066227</v>
      </c>
      <c r="J42" s="130">
        <f t="shared" si="7"/>
        <v>0.005611177466</v>
      </c>
      <c r="K42" s="130">
        <f t="shared" si="7"/>
        <v>0.006566275608</v>
      </c>
      <c r="L42" s="130">
        <f t="shared" si="7"/>
        <v>0.00680750641</v>
      </c>
      <c r="M42" s="130">
        <f t="shared" si="7"/>
        <v>0.005939707401</v>
      </c>
      <c r="N42" s="130">
        <f t="shared" si="7"/>
        <v>0.005154445944</v>
      </c>
      <c r="O42" s="130">
        <f t="shared" si="7"/>
        <v>0.002548316073</v>
      </c>
      <c r="P42" s="130">
        <f t="shared" si="7"/>
        <v>0.03531886795</v>
      </c>
      <c r="Q42" s="130">
        <f t="shared" si="7"/>
        <v>0.05027441451</v>
      </c>
      <c r="R42" s="130">
        <f t="shared" si="7"/>
        <v>0.06972341259</v>
      </c>
      <c r="S42" s="130">
        <f t="shared" si="7"/>
        <v>0.06345246488</v>
      </c>
      <c r="T42" s="130">
        <f t="shared" si="7"/>
        <v>0.04140581006</v>
      </c>
      <c r="U42" s="130">
        <f t="shared" si="7"/>
        <v>0.03365851196</v>
      </c>
      <c r="V42" s="130">
        <f t="shared" si="7"/>
        <v>0.03682120902</v>
      </c>
      <c r="W42" s="130">
        <f t="shared" si="7"/>
        <v>0.03285678821</v>
      </c>
      <c r="X42" s="130">
        <f t="shared" si="7"/>
        <v>0.02355076228</v>
      </c>
      <c r="Y42" s="130">
        <f t="shared" si="7"/>
        <v>0.01778949102</v>
      </c>
      <c r="Z42" s="130">
        <f t="shared" si="7"/>
        <v>0.01019595348</v>
      </c>
    </row>
    <row r="43">
      <c r="A43" s="121" t="s">
        <v>59</v>
      </c>
      <c r="B43" s="130">
        <f t="shared" ref="B43:Z43" si="8">B15/B7*100</f>
        <v>0.0617772673</v>
      </c>
      <c r="C43" s="130">
        <f t="shared" si="8"/>
        <v>0.06820072838</v>
      </c>
      <c r="D43" s="130">
        <f t="shared" si="8"/>
        <v>0.06758707116</v>
      </c>
      <c r="E43" s="130">
        <f t="shared" si="8"/>
        <v>0.06086487997</v>
      </c>
      <c r="F43" s="130">
        <f t="shared" si="8"/>
        <v>0.06520204965</v>
      </c>
      <c r="G43" s="130">
        <f t="shared" si="8"/>
        <v>0.06872053648</v>
      </c>
      <c r="H43" s="130">
        <f t="shared" si="8"/>
        <v>0.07357274505</v>
      </c>
      <c r="I43" s="130">
        <f t="shared" si="8"/>
        <v>0.08495673134</v>
      </c>
      <c r="J43" s="130">
        <f t="shared" si="8"/>
        <v>0.07975887969</v>
      </c>
      <c r="K43" s="130">
        <f t="shared" si="8"/>
        <v>0.07529329364</v>
      </c>
      <c r="L43" s="130">
        <f t="shared" si="8"/>
        <v>0.07306723547</v>
      </c>
      <c r="M43" s="130">
        <f t="shared" si="8"/>
        <v>0.06487988084</v>
      </c>
      <c r="N43" s="130">
        <f t="shared" si="8"/>
        <v>0.0641962813</v>
      </c>
      <c r="O43" s="130">
        <f t="shared" si="8"/>
        <v>0.06625621789</v>
      </c>
      <c r="P43" s="130">
        <f t="shared" si="8"/>
        <v>0.06449532409</v>
      </c>
      <c r="Q43" s="130">
        <f t="shared" si="8"/>
        <v>0.07122208723</v>
      </c>
      <c r="R43" s="130">
        <f t="shared" si="8"/>
        <v>0.0724050823</v>
      </c>
      <c r="S43" s="130">
        <f t="shared" si="8"/>
        <v>0.06887575248</v>
      </c>
      <c r="T43" s="130">
        <f t="shared" si="8"/>
        <v>0.0679055285</v>
      </c>
      <c r="U43" s="130">
        <f t="shared" si="8"/>
        <v>0.06226824712</v>
      </c>
      <c r="V43" s="130">
        <f t="shared" si="8"/>
        <v>0.06163550205</v>
      </c>
      <c r="W43" s="130">
        <f t="shared" si="8"/>
        <v>0.06279297303</v>
      </c>
      <c r="X43" s="130">
        <f t="shared" si="8"/>
        <v>0.06303292258</v>
      </c>
      <c r="Y43" s="130">
        <f t="shared" si="8"/>
        <v>0.06984022402</v>
      </c>
      <c r="Z43" s="130">
        <f t="shared" si="8"/>
        <v>0.0771068982</v>
      </c>
    </row>
    <row r="44">
      <c r="A44" s="126" t="s">
        <v>60</v>
      </c>
      <c r="B44" s="130">
        <f t="shared" ref="B44:Z44" si="9">B16/B7*100</f>
        <v>0.0512952039</v>
      </c>
      <c r="C44" s="130">
        <f t="shared" si="9"/>
        <v>0.06001664098</v>
      </c>
      <c r="D44" s="130">
        <f t="shared" si="9"/>
        <v>0.06570965251</v>
      </c>
      <c r="E44" s="130">
        <f t="shared" si="9"/>
        <v>0.07707888488</v>
      </c>
      <c r="F44" s="130">
        <f t="shared" si="9"/>
        <v>0.09000439794</v>
      </c>
      <c r="G44" s="130">
        <f t="shared" si="9"/>
        <v>0.1211738928</v>
      </c>
      <c r="H44" s="130">
        <f t="shared" si="9"/>
        <v>0.1482716035</v>
      </c>
      <c r="I44" s="130">
        <f t="shared" si="9"/>
        <v>0.184929071</v>
      </c>
      <c r="J44" s="130">
        <f t="shared" si="9"/>
        <v>0.2064111711</v>
      </c>
      <c r="K44" s="130">
        <f t="shared" si="9"/>
        <v>0.2039922956</v>
      </c>
      <c r="L44" s="130">
        <f t="shared" si="9"/>
        <v>0.2659465838</v>
      </c>
      <c r="M44" s="130">
        <f t="shared" si="9"/>
        <v>0.3015543757</v>
      </c>
      <c r="N44" s="130">
        <f t="shared" si="9"/>
        <v>0.3565939421</v>
      </c>
      <c r="O44" s="130">
        <f t="shared" si="9"/>
        <v>0.4398393542</v>
      </c>
      <c r="P44" s="130">
        <f t="shared" si="9"/>
        <v>0.4862742689</v>
      </c>
      <c r="Q44" s="130">
        <f t="shared" si="9"/>
        <v>0.4901755415</v>
      </c>
      <c r="R44" s="130">
        <f t="shared" si="9"/>
        <v>0.4896728899</v>
      </c>
      <c r="S44" s="130">
        <f t="shared" si="9"/>
        <v>0.584630403</v>
      </c>
      <c r="T44" s="130">
        <f t="shared" si="9"/>
        <v>0.6536597215</v>
      </c>
      <c r="U44" s="130">
        <f t="shared" si="9"/>
        <v>0.7343165359</v>
      </c>
      <c r="V44" s="130">
        <f t="shared" si="9"/>
        <v>0.5691278176</v>
      </c>
      <c r="W44" s="130">
        <f t="shared" si="9"/>
        <v>0.8170388002</v>
      </c>
      <c r="X44" s="130">
        <f t="shared" si="9"/>
        <v>0.6677333777</v>
      </c>
      <c r="Y44" s="130">
        <f t="shared" si="9"/>
        <v>0.7030143304</v>
      </c>
      <c r="Z44" s="130">
        <f t="shared" si="9"/>
        <v>0.7207264617</v>
      </c>
    </row>
    <row r="48">
      <c r="N48" s="131" t="s">
        <v>61</v>
      </c>
    </row>
    <row r="84">
      <c r="I84" s="131" t="s">
        <v>62</v>
      </c>
    </row>
    <row r="106">
      <c r="I106" s="131" t="s">
        <v>63</v>
      </c>
    </row>
    <row r="126">
      <c r="E126" s="132" t="s">
        <v>64</v>
      </c>
    </row>
  </sheetData>
  <mergeCells count="6">
    <mergeCell ref="B2:Z2"/>
    <mergeCell ref="B3:Z3"/>
    <mergeCell ref="N48:R68"/>
    <mergeCell ref="I84:O99"/>
    <mergeCell ref="I106:O121"/>
    <mergeCell ref="E126:J14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33" t="s">
        <v>65</v>
      </c>
    </row>
    <row r="3">
      <c r="A3" s="102"/>
      <c r="B3" s="134" t="s">
        <v>38</v>
      </c>
    </row>
    <row r="4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135"/>
      <c r="B5" s="136">
        <v>2000.0</v>
      </c>
      <c r="C5" s="136">
        <v>2001.0</v>
      </c>
      <c r="D5" s="136">
        <v>2002.0</v>
      </c>
      <c r="E5" s="137">
        <v>2003.0</v>
      </c>
      <c r="F5" s="137">
        <v>2004.0</v>
      </c>
      <c r="G5" s="136">
        <v>2005.0</v>
      </c>
      <c r="H5" s="136">
        <v>2006.0</v>
      </c>
      <c r="I5" s="136">
        <v>2007.0</v>
      </c>
      <c r="J5" s="136">
        <v>2008.0</v>
      </c>
      <c r="K5" s="136">
        <v>2009.0</v>
      </c>
      <c r="L5" s="137">
        <v>2010.0</v>
      </c>
      <c r="M5" s="136">
        <v>2011.0</v>
      </c>
      <c r="N5" s="138">
        <v>2012.0</v>
      </c>
      <c r="O5" s="136">
        <v>2013.0</v>
      </c>
      <c r="P5" s="138">
        <v>2014.0</v>
      </c>
      <c r="Q5" s="136">
        <v>2015.0</v>
      </c>
      <c r="R5" s="138">
        <v>2016.0</v>
      </c>
      <c r="S5" s="136">
        <v>2017.0</v>
      </c>
      <c r="T5" s="139">
        <v>2018.0</v>
      </c>
      <c r="U5" s="136">
        <v>2019.0</v>
      </c>
      <c r="V5" s="136">
        <v>2020.0</v>
      </c>
      <c r="W5" s="136">
        <v>2021.0</v>
      </c>
      <c r="X5" s="136">
        <v>2022.0</v>
      </c>
      <c r="Y5" s="136">
        <v>2023.0</v>
      </c>
      <c r="Z5" s="136">
        <v>2024.0</v>
      </c>
    </row>
    <row r="6">
      <c r="A6" s="108"/>
      <c r="B6" s="110"/>
      <c r="C6" s="108"/>
      <c r="D6" s="110"/>
      <c r="E6" s="108"/>
      <c r="F6" s="110"/>
      <c r="G6" s="108"/>
      <c r="H6" s="110"/>
      <c r="I6" s="108"/>
      <c r="J6" s="110"/>
      <c r="K6" s="108"/>
      <c r="L6" s="110"/>
      <c r="M6" s="108"/>
      <c r="N6" s="110"/>
      <c r="O6" s="108"/>
      <c r="P6" s="110"/>
      <c r="Q6" s="108"/>
      <c r="R6" s="110"/>
      <c r="S6" s="108"/>
      <c r="T6" s="140"/>
      <c r="U6" s="141"/>
      <c r="V6" s="142"/>
      <c r="W6" s="142"/>
      <c r="X6" s="142"/>
      <c r="Y6" s="142"/>
      <c r="Z6" s="142"/>
    </row>
    <row r="7">
      <c r="A7" s="143" t="s">
        <v>2</v>
      </c>
      <c r="B7" s="144">
        <f t="shared" ref="B7:Z7" si="1">B9+B11+B13+B12+B10</f>
        <v>100</v>
      </c>
      <c r="C7" s="145">
        <f t="shared" si="1"/>
        <v>100</v>
      </c>
      <c r="D7" s="144">
        <f t="shared" si="1"/>
        <v>100</v>
      </c>
      <c r="E7" s="145">
        <f t="shared" si="1"/>
        <v>100</v>
      </c>
      <c r="F7" s="144">
        <f t="shared" si="1"/>
        <v>100</v>
      </c>
      <c r="G7" s="145">
        <f t="shared" si="1"/>
        <v>100</v>
      </c>
      <c r="H7" s="144">
        <f t="shared" si="1"/>
        <v>100</v>
      </c>
      <c r="I7" s="145">
        <f t="shared" si="1"/>
        <v>100</v>
      </c>
      <c r="J7" s="144">
        <f t="shared" si="1"/>
        <v>100</v>
      </c>
      <c r="K7" s="145">
        <f t="shared" si="1"/>
        <v>100</v>
      </c>
      <c r="L7" s="144">
        <f t="shared" si="1"/>
        <v>100</v>
      </c>
      <c r="M7" s="145">
        <f t="shared" si="1"/>
        <v>100</v>
      </c>
      <c r="N7" s="144">
        <f t="shared" si="1"/>
        <v>100</v>
      </c>
      <c r="O7" s="145">
        <f t="shared" si="1"/>
        <v>100</v>
      </c>
      <c r="P7" s="144">
        <f t="shared" si="1"/>
        <v>100</v>
      </c>
      <c r="Q7" s="145">
        <f t="shared" si="1"/>
        <v>99.95</v>
      </c>
      <c r="R7" s="144">
        <f t="shared" si="1"/>
        <v>99.97</v>
      </c>
      <c r="S7" s="145">
        <f t="shared" si="1"/>
        <v>100</v>
      </c>
      <c r="T7" s="144">
        <f t="shared" si="1"/>
        <v>100</v>
      </c>
      <c r="U7" s="145">
        <f t="shared" si="1"/>
        <v>100</v>
      </c>
      <c r="V7" s="146">
        <f t="shared" si="1"/>
        <v>100</v>
      </c>
      <c r="W7" s="146">
        <f t="shared" si="1"/>
        <v>100</v>
      </c>
      <c r="X7" s="146">
        <f t="shared" si="1"/>
        <v>100</v>
      </c>
      <c r="Y7" s="146">
        <f t="shared" si="1"/>
        <v>100</v>
      </c>
      <c r="Z7" s="146">
        <f t="shared" si="1"/>
        <v>100</v>
      </c>
    </row>
    <row r="8">
      <c r="A8" s="147" t="s">
        <v>3</v>
      </c>
      <c r="B8" s="148"/>
      <c r="C8" s="149"/>
      <c r="D8" s="148"/>
      <c r="E8" s="149"/>
      <c r="F8" s="148"/>
      <c r="G8" s="149"/>
      <c r="H8" s="148"/>
      <c r="I8" s="149"/>
      <c r="J8" s="148"/>
      <c r="K8" s="149"/>
      <c r="L8" s="148"/>
      <c r="M8" s="149"/>
      <c r="N8" s="148"/>
      <c r="O8" s="149"/>
      <c r="P8" s="148"/>
      <c r="Q8" s="149"/>
      <c r="R8" s="148"/>
      <c r="S8" s="149"/>
      <c r="T8" s="148"/>
      <c r="U8" s="149"/>
      <c r="V8" s="150"/>
      <c r="W8" s="150"/>
      <c r="X8" s="150"/>
      <c r="Y8" s="150"/>
      <c r="Z8" s="150"/>
    </row>
    <row r="9">
      <c r="A9" s="147" t="s">
        <v>4</v>
      </c>
      <c r="B9" s="151">
        <v>3.2</v>
      </c>
      <c r="C9" s="152">
        <v>3.0</v>
      </c>
      <c r="D9" s="151">
        <v>3.0</v>
      </c>
      <c r="E9" s="152">
        <v>3.3</v>
      </c>
      <c r="F9" s="151">
        <v>3.4</v>
      </c>
      <c r="G9" s="152">
        <v>4.4</v>
      </c>
      <c r="H9" s="151">
        <v>5.0</v>
      </c>
      <c r="I9" s="152">
        <v>5.1</v>
      </c>
      <c r="J9" s="151">
        <v>5.2</v>
      </c>
      <c r="K9" s="152">
        <v>5.0</v>
      </c>
      <c r="L9" s="151">
        <v>4.3</v>
      </c>
      <c r="M9" s="152">
        <v>4.5</v>
      </c>
      <c r="N9" s="151">
        <v>5.0</v>
      </c>
      <c r="O9" s="152">
        <v>5.5</v>
      </c>
      <c r="P9" s="151">
        <v>5.5</v>
      </c>
      <c r="Q9" s="152">
        <v>5.4</v>
      </c>
      <c r="R9" s="151">
        <v>5.6</v>
      </c>
      <c r="S9" s="152">
        <v>6.1</v>
      </c>
      <c r="T9" s="151">
        <v>6.4</v>
      </c>
      <c r="U9" s="152">
        <v>6.7</v>
      </c>
      <c r="V9" s="153">
        <v>7.0</v>
      </c>
      <c r="W9" s="153">
        <v>7.7</v>
      </c>
      <c r="X9" s="153">
        <v>7.9</v>
      </c>
      <c r="Y9" s="153">
        <v>8.0</v>
      </c>
      <c r="Z9" s="153">
        <v>8.3</v>
      </c>
    </row>
    <row r="10">
      <c r="A10" s="147" t="s">
        <v>32</v>
      </c>
      <c r="B10" s="151">
        <v>0.1</v>
      </c>
      <c r="C10" s="152">
        <v>0.1</v>
      </c>
      <c r="D10" s="151">
        <v>0.1</v>
      </c>
      <c r="E10" s="152">
        <v>0.1</v>
      </c>
      <c r="F10" s="151">
        <v>0.1</v>
      </c>
      <c r="G10" s="152">
        <v>0.1</v>
      </c>
      <c r="H10" s="151">
        <v>0.1</v>
      </c>
      <c r="I10" s="152">
        <v>0.2</v>
      </c>
      <c r="J10" s="151">
        <v>0.2</v>
      </c>
      <c r="K10" s="152">
        <v>0.2</v>
      </c>
      <c r="L10" s="151">
        <v>0.3</v>
      </c>
      <c r="M10" s="152">
        <v>0.3</v>
      </c>
      <c r="N10" s="151">
        <v>0.4</v>
      </c>
      <c r="O10" s="152">
        <v>0.4</v>
      </c>
      <c r="P10" s="151">
        <v>0.5</v>
      </c>
      <c r="Q10" s="152">
        <v>0.5</v>
      </c>
      <c r="R10" s="151">
        <v>0.5</v>
      </c>
      <c r="S10" s="152">
        <v>0.6</v>
      </c>
      <c r="T10" s="151">
        <v>0.7</v>
      </c>
      <c r="U10" s="154">
        <v>0.7</v>
      </c>
      <c r="V10" s="155">
        <v>0.6</v>
      </c>
      <c r="W10" s="155">
        <v>0.8</v>
      </c>
      <c r="X10" s="155">
        <v>0.7</v>
      </c>
      <c r="Y10" s="155">
        <v>0.7</v>
      </c>
      <c r="Z10" s="155">
        <v>0.7</v>
      </c>
    </row>
    <row r="11">
      <c r="A11" s="147" t="s">
        <v>5</v>
      </c>
      <c r="B11" s="151">
        <v>51.2</v>
      </c>
      <c r="C11" s="152">
        <v>51.1</v>
      </c>
      <c r="D11" s="151">
        <v>51.4</v>
      </c>
      <c r="E11" s="152">
        <v>52.1</v>
      </c>
      <c r="F11" s="151">
        <v>53.7</v>
      </c>
      <c r="G11" s="152">
        <v>54.4</v>
      </c>
      <c r="H11" s="151">
        <v>55.4</v>
      </c>
      <c r="I11" s="152">
        <v>58.4</v>
      </c>
      <c r="J11" s="151">
        <v>59.0</v>
      </c>
      <c r="K11" s="152">
        <v>60.0</v>
      </c>
      <c r="L11" s="151">
        <v>60.9</v>
      </c>
      <c r="M11" s="152">
        <v>60.8</v>
      </c>
      <c r="N11" s="151">
        <v>59.8</v>
      </c>
      <c r="O11" s="152">
        <v>59.1</v>
      </c>
      <c r="P11" s="151">
        <v>59.1</v>
      </c>
      <c r="Q11" s="152">
        <v>60.3</v>
      </c>
      <c r="R11" s="151">
        <v>60.6</v>
      </c>
      <c r="S11" s="152">
        <v>60.8</v>
      </c>
      <c r="T11" s="151">
        <v>60.3</v>
      </c>
      <c r="U11" s="154">
        <v>59.7</v>
      </c>
      <c r="V11" s="155">
        <v>61.6</v>
      </c>
      <c r="W11" s="155">
        <v>58.7</v>
      </c>
      <c r="X11" s="155">
        <v>58.6</v>
      </c>
      <c r="Y11" s="155">
        <v>59.1</v>
      </c>
      <c r="Z11" s="155">
        <v>58.6</v>
      </c>
    </row>
    <row r="12">
      <c r="A12" s="147" t="s">
        <v>66</v>
      </c>
      <c r="B12" s="151">
        <v>0.1</v>
      </c>
      <c r="C12" s="152">
        <v>0.1</v>
      </c>
      <c r="D12" s="151">
        <v>0.1</v>
      </c>
      <c r="E12" s="152">
        <v>0.1</v>
      </c>
      <c r="F12" s="151">
        <v>0.1</v>
      </c>
      <c r="G12" s="152">
        <v>0.1</v>
      </c>
      <c r="H12" s="151">
        <v>0.1</v>
      </c>
      <c r="I12" s="152">
        <v>0.1</v>
      </c>
      <c r="J12" s="151">
        <v>0.1</v>
      </c>
      <c r="K12" s="152">
        <v>0.1</v>
      </c>
      <c r="L12" s="151">
        <v>0.1</v>
      </c>
      <c r="M12" s="152">
        <v>0.1</v>
      </c>
      <c r="N12" s="151">
        <v>0.1</v>
      </c>
      <c r="O12" s="152">
        <v>0.1</v>
      </c>
      <c r="P12" s="151">
        <v>0.1</v>
      </c>
      <c r="Q12" s="152">
        <v>0.15000000000000002</v>
      </c>
      <c r="R12" s="151">
        <v>0.17</v>
      </c>
      <c r="S12" s="152">
        <v>0.1</v>
      </c>
      <c r="T12" s="151">
        <v>0.1</v>
      </c>
      <c r="U12" s="154">
        <v>0.1</v>
      </c>
      <c r="V12" s="155">
        <v>0.1</v>
      </c>
      <c r="W12" s="155">
        <v>0.1</v>
      </c>
      <c r="X12" s="155">
        <v>0.1</v>
      </c>
      <c r="Y12" s="155">
        <v>0.1</v>
      </c>
      <c r="Z12" s="155">
        <v>0.1</v>
      </c>
    </row>
    <row r="13">
      <c r="A13" s="156" t="s">
        <v>67</v>
      </c>
      <c r="B13" s="157">
        <v>45.4</v>
      </c>
      <c r="C13" s="158">
        <v>45.699999999999996</v>
      </c>
      <c r="D13" s="157">
        <v>45.4</v>
      </c>
      <c r="E13" s="158">
        <v>44.4</v>
      </c>
      <c r="F13" s="157">
        <v>42.7</v>
      </c>
      <c r="G13" s="158">
        <v>41.0</v>
      </c>
      <c r="H13" s="157">
        <v>39.4</v>
      </c>
      <c r="I13" s="158">
        <v>36.2</v>
      </c>
      <c r="J13" s="157">
        <v>35.5</v>
      </c>
      <c r="K13" s="158">
        <v>34.7</v>
      </c>
      <c r="L13" s="157">
        <v>34.4</v>
      </c>
      <c r="M13" s="158">
        <v>34.3</v>
      </c>
      <c r="N13" s="157">
        <v>34.699999999999996</v>
      </c>
      <c r="O13" s="158">
        <v>34.9</v>
      </c>
      <c r="P13" s="157">
        <v>34.8</v>
      </c>
      <c r="Q13" s="158">
        <v>33.599999999999994</v>
      </c>
      <c r="R13" s="157">
        <v>33.1</v>
      </c>
      <c r="S13" s="158">
        <v>32.400000000000006</v>
      </c>
      <c r="T13" s="157">
        <v>32.5</v>
      </c>
      <c r="U13" s="159">
        <v>32.8</v>
      </c>
      <c r="V13" s="160">
        <v>30.7</v>
      </c>
      <c r="W13" s="160">
        <v>32.7</v>
      </c>
      <c r="X13" s="160">
        <v>32.7</v>
      </c>
      <c r="Y13" s="161">
        <v>32.1</v>
      </c>
      <c r="Z13" s="161">
        <v>32.3</v>
      </c>
    </row>
    <row r="14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</sheetData>
  <mergeCells count="2">
    <mergeCell ref="B2:Z2"/>
    <mergeCell ref="B3:Z3"/>
  </mergeCells>
  <drawing r:id="rId1"/>
</worksheet>
</file>