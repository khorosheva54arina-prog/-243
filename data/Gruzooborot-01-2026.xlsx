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B925A6B1-9336-A74F-952F-387FA36E1A4A}" xr6:coauthVersionLast="47" xr6:coauthVersionMax="47" xr10:uidLastSave="{00000000-0000-0000-0000-000000000000}"/>
  <bookViews>
    <workbookView xWindow="0" yWindow="740" windowWidth="24000" windowHeight="9640" activeTab="2" xr2:uid="{00000000-000D-0000-FFFF-FFFF00000000}"/>
  </bookViews>
  <sheets>
    <sheet name="Содержание" sheetId="1" r:id="rId1"/>
    <sheet name="1" sheetId="2" r:id="rId2"/>
    <sheet name="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" i="3" l="1"/>
  <c r="Y7" i="3" l="1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</calcChain>
</file>

<file path=xl/sharedStrings.xml><?xml version="1.0" encoding="utf-8"?>
<sst xmlns="http://schemas.openxmlformats.org/spreadsheetml/2006/main" count="44" uniqueCount="33">
  <si>
    <t>1.</t>
  </si>
  <si>
    <t>2.</t>
  </si>
  <si>
    <t>Ответственный исполнитель:</t>
  </si>
  <si>
    <t>Смирнова Татьяна Александровна</t>
  </si>
  <si>
    <t>8 (495) 568-00-42 (доб. 99-354)</t>
  </si>
  <si>
    <t>Грузооборот по видам транспорта по Российской Федерации</t>
  </si>
  <si>
    <t>(миллиард тонно-километров)</t>
  </si>
  <si>
    <r>
      <t>2022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</si>
  <si>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2023</t>
    </r>
    <r>
      <rPr>
        <vertAlign val="superscript"/>
        <sz val="12"/>
        <color theme="1"/>
        <rFont val="Times New Roman"/>
        <family val="1"/>
        <charset val="204"/>
      </rPr>
      <t>1)</t>
    </r>
  </si>
  <si>
    <t xml:space="preserve">Транспорт - всего </t>
  </si>
  <si>
    <t>в том числе:</t>
  </si>
  <si>
    <t>железнодорожный</t>
  </si>
  <si>
    <t>автомобильный</t>
  </si>
  <si>
    <t>трубопроводный-всего</t>
  </si>
  <si>
    <t>газопроводный</t>
  </si>
  <si>
    <t>…</t>
  </si>
  <si>
    <t>нефтепроводный</t>
  </si>
  <si>
    <t>нефтепродуктопроводный</t>
  </si>
  <si>
    <r>
      <t>морской</t>
    </r>
    <r>
      <rPr>
        <vertAlign val="superscript"/>
        <sz val="12"/>
        <color indexed="64"/>
        <rFont val="Times New Roman"/>
        <family val="1"/>
        <charset val="204"/>
      </rPr>
      <t>2)</t>
    </r>
  </si>
  <si>
    <r>
      <t>внутренний водный</t>
    </r>
    <r>
      <rPr>
        <vertAlign val="superscript"/>
        <sz val="12"/>
        <color indexed="64"/>
        <rFont val="Times New Roman"/>
        <family val="1"/>
        <charset val="204"/>
      </rPr>
      <t>3)</t>
    </r>
  </si>
  <si>
    <r>
      <t>воздушный</t>
    </r>
    <r>
      <rPr>
        <vertAlign val="superscript"/>
        <sz val="12"/>
        <color indexed="64"/>
        <rFont val="Times New Roman"/>
        <family val="1"/>
        <charset val="204"/>
      </rPr>
      <t>4)</t>
    </r>
    <r>
      <rPr>
        <sz val="12"/>
        <color indexed="64"/>
        <rFont val="Times New Roman"/>
        <family val="1"/>
        <charset val="204"/>
      </rPr>
      <t xml:space="preserve"> 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</si>
  <si>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</si>
  <si>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color indexed="64"/>
        <rFont val="Times New Roman"/>
        <family val="1"/>
        <charset val="204"/>
      </rPr>
      <t>2)</t>
    </r>
    <r>
      <rPr>
        <sz val="12"/>
        <color indexed="64"/>
        <rFont val="Times New Roman"/>
        <family val="1"/>
        <charset val="204"/>
      </rPr>
      <t xml:space="preserve"> С 2012 г. - исключая перевозки судами смешанного (река-море) плавания. С 2015 г. - по данным Росморречфлота.</t>
    </r>
  </si>
  <si>
    <r>
      <rPr>
        <vertAlign val="superscript"/>
        <sz val="12"/>
        <color indexed="64"/>
        <rFont val="Times New Roman"/>
        <family val="1"/>
        <charset val="204"/>
      </rPr>
      <t>3)</t>
    </r>
    <r>
      <rPr>
        <sz val="12"/>
        <color indexed="64"/>
        <rFont val="Times New Roman"/>
        <family val="1"/>
        <charset val="204"/>
      </rPr>
      <t xml:space="preserve"> С 2012 г. - включая перевозки судами смешанного (река-море) плавания. С 2015 г. - по данным Росморречфлота.</t>
    </r>
  </si>
  <si>
    <r>
      <rPr>
        <vertAlign val="superscript"/>
        <sz val="12"/>
        <color indexed="64"/>
        <rFont val="Times New Roman"/>
        <family val="1"/>
        <charset val="204"/>
      </rPr>
      <t>4)</t>
    </r>
    <r>
      <rPr>
        <sz val="12"/>
        <color indexed="64"/>
        <rFont val="Times New Roman"/>
        <family val="1"/>
        <charset val="204"/>
      </rPr>
      <t xml:space="preserve"> По данным Росавиации.</t>
    </r>
  </si>
  <si>
    <t>Структура грузооборота по видам транспорта по Российской Федерации</t>
  </si>
  <si>
    <t>(процент)</t>
  </si>
  <si>
    <t>воздушный</t>
  </si>
  <si>
    <t>водный транспорт</t>
  </si>
  <si>
    <t>трубопроводный</t>
  </si>
  <si>
    <r>
      <t>2024</t>
    </r>
    <r>
      <rPr>
        <vertAlign val="superscript"/>
        <sz val="12"/>
        <color theme="1"/>
        <rFont val="Times New Roman"/>
        <family val="1"/>
        <charset val="204"/>
      </rPr>
      <t>1)</t>
    </r>
  </si>
  <si>
    <t>Грузооборот по видам транспорта по Российской Федерации (с 2000 по 2024 год)</t>
  </si>
  <si>
    <t>Структура грузооборота по видам транспорта по Российской Федерации (с 2000 по 2024 год)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</si>
</sst>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b/>
      <sz val="12"/>
      <color indexed="64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2"/>
      <color indexed="64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1"/>
      <color indexed="6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Protection="0"/>
    <xf numFmtId="0" fontId="3" fillId="0" borderId="0"/>
  </cellStyleXfs>
  <cellXfs count="87">
    <xf numFmtId="0" fontId="0" fillId="0" borderId="0" xfId="0"/>
    <xf numFmtId="0" fontId="4" fillId="0" borderId="0" xfId="2" applyFont="1"/>
    <xf numFmtId="0" fontId="5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6" fillId="0" borderId="1" xfId="0" applyFont="1" applyBorder="1"/>
    <xf numFmtId="0" fontId="8" fillId="0" borderId="3" xfId="0" applyFont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5" xfId="0" applyBorder="1"/>
    <xf numFmtId="0" fontId="5" fillId="0" borderId="5" xfId="0" applyFont="1" applyBorder="1"/>
    <xf numFmtId="0" fontId="7" fillId="0" borderId="6" xfId="0" applyFont="1" applyBorder="1"/>
    <xf numFmtId="0" fontId="8" fillId="0" borderId="7" xfId="0" applyFont="1" applyBorder="1" applyAlignment="1">
      <alignment horizontal="left" indent="3"/>
    </xf>
    <xf numFmtId="0" fontId="9" fillId="0" borderId="8" xfId="0" applyFont="1" applyBorder="1"/>
    <xf numFmtId="0" fontId="9" fillId="0" borderId="9" xfId="0" applyFont="1" applyBorder="1"/>
    <xf numFmtId="0" fontId="10" fillId="0" borderId="9" xfId="0" applyFont="1" applyBorder="1"/>
    <xf numFmtId="0" fontId="11" fillId="0" borderId="9" xfId="0" applyFont="1" applyBorder="1"/>
    <xf numFmtId="0" fontId="11" fillId="0" borderId="6" xfId="0" applyFont="1" applyBorder="1" applyAlignment="1">
      <alignment horizontal="left" indent="1"/>
    </xf>
    <xf numFmtId="164" fontId="11" fillId="0" borderId="8" xfId="0" applyNumberFormat="1" applyFont="1" applyBorder="1" applyAlignment="1">
      <alignment horizontal="right"/>
    </xf>
    <xf numFmtId="164" fontId="11" fillId="0" borderId="9" xfId="0" applyNumberFormat="1" applyFont="1" applyBorder="1" applyAlignment="1">
      <alignment horizontal="right"/>
    </xf>
    <xf numFmtId="0" fontId="8" fillId="0" borderId="7" xfId="0" applyFont="1" applyBorder="1" applyAlignment="1">
      <alignment horizontal="left" indent="1"/>
    </xf>
    <xf numFmtId="0" fontId="8" fillId="0" borderId="7" xfId="0" applyFont="1" applyBorder="1" applyAlignment="1">
      <alignment horizontal="left" indent="5"/>
    </xf>
    <xf numFmtId="0" fontId="8" fillId="0" borderId="10" xfId="0" applyFont="1" applyBorder="1" applyAlignment="1">
      <alignment horizontal="left" indent="1"/>
    </xf>
    <xf numFmtId="164" fontId="11" fillId="0" borderId="11" xfId="0" applyNumberFormat="1" applyFont="1" applyBorder="1" applyAlignment="1">
      <alignment horizontal="right"/>
    </xf>
    <xf numFmtId="164" fontId="11" fillId="0" borderId="12" xfId="0" applyNumberFormat="1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165" fontId="0" fillId="0" borderId="0" xfId="0" applyNumberFormat="1"/>
    <xf numFmtId="4" fontId="6" fillId="0" borderId="0" xfId="0" applyNumberFormat="1" applyFont="1"/>
    <xf numFmtId="0" fontId="9" fillId="0" borderId="0" xfId="0" applyFont="1"/>
    <xf numFmtId="0" fontId="12" fillId="0" borderId="2" xfId="0" applyFont="1" applyBorder="1" applyAlignment="1">
      <alignment horizontal="center" vertical="center"/>
    </xf>
    <xf numFmtId="0" fontId="9" fillId="0" borderId="3" xfId="0" applyFont="1" applyBorder="1"/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65" fontId="12" fillId="0" borderId="16" xfId="0" applyNumberFormat="1" applyFont="1" applyBorder="1"/>
    <xf numFmtId="165" fontId="12" fillId="0" borderId="15" xfId="0" applyNumberFormat="1" applyFont="1" applyBorder="1"/>
    <xf numFmtId="165" fontId="12" fillId="0" borderId="17" xfId="0" applyNumberFormat="1" applyFont="1" applyBorder="1"/>
    <xf numFmtId="165" fontId="12" fillId="0" borderId="18" xfId="0" applyNumberFormat="1" applyFont="1" applyBorder="1"/>
    <xf numFmtId="0" fontId="9" fillId="0" borderId="7" xfId="0" applyFont="1" applyBorder="1"/>
    <xf numFmtId="0" fontId="9" fillId="0" borderId="19" xfId="0" applyFont="1" applyBorder="1"/>
    <xf numFmtId="0" fontId="9" fillId="0" borderId="7" xfId="0" applyFont="1" applyBorder="1" applyAlignment="1">
      <alignment horizontal="left" indent="1"/>
    </xf>
    <xf numFmtId="165" fontId="9" fillId="0" borderId="8" xfId="0" applyNumberFormat="1" applyFont="1" applyBorder="1"/>
    <xf numFmtId="165" fontId="9" fillId="0" borderId="7" xfId="0" applyNumberFormat="1" applyFont="1" applyBorder="1"/>
    <xf numFmtId="165" fontId="9" fillId="0" borderId="9" xfId="0" applyNumberFormat="1" applyFont="1" applyBorder="1"/>
    <xf numFmtId="165" fontId="9" fillId="0" borderId="19" xfId="0" applyNumberFormat="1" applyFont="1" applyBorder="1"/>
    <xf numFmtId="2" fontId="9" fillId="0" borderId="19" xfId="0" applyNumberFormat="1" applyFont="1" applyBorder="1"/>
    <xf numFmtId="0" fontId="9" fillId="0" borderId="20" xfId="0" applyFont="1" applyBorder="1" applyAlignment="1">
      <alignment horizontal="left" indent="1"/>
    </xf>
    <xf numFmtId="165" fontId="9" fillId="0" borderId="11" xfId="0" applyNumberFormat="1" applyFont="1" applyBorder="1"/>
    <xf numFmtId="165" fontId="9" fillId="0" borderId="20" xfId="0" applyNumberFormat="1" applyFont="1" applyBorder="1"/>
    <xf numFmtId="165" fontId="9" fillId="0" borderId="12" xfId="0" applyNumberFormat="1" applyFont="1" applyBorder="1"/>
    <xf numFmtId="0" fontId="9" fillId="0" borderId="20" xfId="0" applyFont="1" applyBorder="1"/>
    <xf numFmtId="0" fontId="9" fillId="0" borderId="21" xfId="0" applyFont="1" applyBorder="1"/>
    <xf numFmtId="165" fontId="9" fillId="0" borderId="0" xfId="0" applyNumberFormat="1" applyFont="1"/>
    <xf numFmtId="2" fontId="9" fillId="0" borderId="8" xfId="0" applyNumberFormat="1" applyFont="1" applyBorder="1"/>
    <xf numFmtId="2" fontId="9" fillId="0" borderId="7" xfId="0" applyNumberFormat="1" applyFont="1" applyBorder="1"/>
    <xf numFmtId="2" fontId="9" fillId="0" borderId="9" xfId="0" applyNumberFormat="1" applyFont="1" applyBorder="1"/>
    <xf numFmtId="0" fontId="16" fillId="0" borderId="0" xfId="0" applyFont="1"/>
    <xf numFmtId="0" fontId="17" fillId="0" borderId="0" xfId="1" applyFont="1"/>
    <xf numFmtId="0" fontId="0" fillId="0" borderId="14" xfId="0" applyBorder="1"/>
    <xf numFmtId="164" fontId="4" fillId="0" borderId="22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23" xfId="0" applyNumberFormat="1" applyFont="1" applyBorder="1" applyAlignment="1">
      <alignment horizontal="right"/>
    </xf>
    <xf numFmtId="0" fontId="10" fillId="0" borderId="19" xfId="0" applyFont="1" applyBorder="1"/>
    <xf numFmtId="164" fontId="11" fillId="0" borderId="19" xfId="0" applyNumberFormat="1" applyFont="1" applyBorder="1" applyAlignment="1">
      <alignment horizontal="right"/>
    </xf>
    <xf numFmtId="164" fontId="11" fillId="0" borderId="21" xfId="0" applyNumberFormat="1" applyFont="1" applyBorder="1" applyAlignment="1">
      <alignment horizontal="right"/>
    </xf>
    <xf numFmtId="0" fontId="1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8" fillId="0" borderId="15" xfId="0" applyFont="1" applyBorder="1"/>
    <xf numFmtId="0" fontId="6" fillId="0" borderId="7" xfId="0" applyFont="1" applyBorder="1" applyAlignment="1">
      <alignment horizontal="left" indent="3"/>
    </xf>
    <xf numFmtId="0" fontId="17" fillId="0" borderId="0" xfId="1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370418</xdr:colOff>
      <xdr:row>3</xdr:row>
      <xdr:rowOff>148169</xdr:rowOff>
    </xdr:from>
    <xdr:ext cx="270139" cy="21031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 bwMode="auto">
        <a:xfrm>
          <a:off x="16540506" y="775698"/>
          <a:ext cx="270139" cy="210314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800">
              <a:latin typeface="Times New Roman"/>
              <a:cs typeface="Times New Roman"/>
            </a:rPr>
            <a:t>1)</a:t>
          </a:r>
          <a:endParaRPr lang="ru-RU" sz="1100">
            <a:latin typeface="Times New Roman"/>
            <a:cs typeface="Times New Roman"/>
          </a:endParaRPr>
        </a:p>
      </xdr:txBody>
    </xdr:sp>
    <xdr:clientData/>
  </xdr:oneCellAnchor>
  <xdr:oneCellAnchor>
    <xdr:from>
      <xdr:col>24</xdr:col>
      <xdr:colOff>370418</xdr:colOff>
      <xdr:row>3</xdr:row>
      <xdr:rowOff>148169</xdr:rowOff>
    </xdr:from>
    <xdr:ext cx="270139" cy="21031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 bwMode="auto">
        <a:xfrm>
          <a:off x="17145624" y="775698"/>
          <a:ext cx="270139" cy="210314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800">
              <a:latin typeface="Times New Roman"/>
              <a:cs typeface="Times New Roman"/>
            </a:rPr>
            <a:t>1)</a:t>
          </a:r>
          <a:endParaRPr lang="ru-RU" sz="1100">
            <a:latin typeface="Times New Roman"/>
            <a:cs typeface="Times New Roman"/>
          </a:endParaRPr>
        </a:p>
      </xdr:txBody>
    </xdr:sp>
    <xdr:clientData/>
  </xdr:oneCellAnchor>
  <xdr:oneCellAnchor>
    <xdr:from>
      <xdr:col>25</xdr:col>
      <xdr:colOff>370418</xdr:colOff>
      <xdr:row>3</xdr:row>
      <xdr:rowOff>148169</xdr:rowOff>
    </xdr:from>
    <xdr:ext cx="270139" cy="21031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 bwMode="auto">
        <a:xfrm>
          <a:off x="17750742" y="775698"/>
          <a:ext cx="270139" cy="210314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800">
              <a:latin typeface="Times New Roman"/>
              <a:cs typeface="Times New Roman"/>
            </a:rPr>
            <a:t>1)</a:t>
          </a:r>
          <a:endParaRPr lang="ru-RU" sz="1100">
            <a:latin typeface="Times New Roman"/>
            <a:cs typeface="Times New Roma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3"/>
  <sheetViews>
    <sheetView workbookViewId="0"/>
  </sheetViews>
  <sheetFormatPr baseColWidth="10" defaultColWidth="9.1640625" defaultRowHeight="14" x14ac:dyDescent="0.15"/>
  <cols>
    <col min="1" max="1" width="4.5" style="61" customWidth="1"/>
    <col min="2" max="9" width="9.1640625" style="61"/>
    <col min="10" max="10" width="20.5" style="61" customWidth="1"/>
    <col min="11" max="16384" width="9.1640625" style="61"/>
  </cols>
  <sheetData>
    <row r="3" spans="1:11" x14ac:dyDescent="0.15">
      <c r="A3" s="70" t="s">
        <v>0</v>
      </c>
      <c r="B3" s="62" t="s">
        <v>31</v>
      </c>
      <c r="C3" s="62"/>
      <c r="D3" s="62"/>
      <c r="E3" s="62"/>
      <c r="F3" s="62"/>
      <c r="G3" s="62"/>
      <c r="H3" s="62"/>
      <c r="I3" s="62"/>
      <c r="J3" s="62"/>
      <c r="K3" s="62"/>
    </row>
    <row r="4" spans="1:11" x14ac:dyDescent="0.15">
      <c r="A4" s="70" t="s">
        <v>1</v>
      </c>
      <c r="B4" s="80" t="s">
        <v>32</v>
      </c>
      <c r="C4" s="80"/>
      <c r="D4" s="80"/>
      <c r="E4" s="80"/>
      <c r="F4" s="80"/>
      <c r="G4" s="80"/>
      <c r="H4" s="80"/>
      <c r="I4" s="80"/>
      <c r="J4" s="80"/>
    </row>
    <row r="5" spans="1:11" x14ac:dyDescent="0.15">
      <c r="A5" s="70"/>
      <c r="B5" s="80"/>
      <c r="C5" s="80"/>
      <c r="D5" s="80"/>
      <c r="E5" s="80"/>
      <c r="F5" s="80"/>
      <c r="G5" s="80"/>
      <c r="H5" s="80"/>
    </row>
    <row r="6" spans="1:11" x14ac:dyDescent="0.15">
      <c r="A6" s="70"/>
      <c r="B6" s="62"/>
    </row>
    <row r="8" spans="1:11" ht="16" x14ac:dyDescent="0.2">
      <c r="B8" s="1" t="s">
        <v>2</v>
      </c>
    </row>
    <row r="9" spans="1:11" ht="16" x14ac:dyDescent="0.2">
      <c r="B9" s="2" t="s">
        <v>3</v>
      </c>
    </row>
    <row r="10" spans="1:11" ht="16" x14ac:dyDescent="0.2">
      <c r="B10" s="2" t="s">
        <v>4</v>
      </c>
    </row>
    <row r="11" spans="1:11" ht="16" x14ac:dyDescent="0.2">
      <c r="B11" s="2"/>
    </row>
    <row r="13" spans="1:11" ht="16" x14ac:dyDescent="0.2">
      <c r="B13" s="3"/>
    </row>
  </sheetData>
  <mergeCells count="2">
    <mergeCell ref="B4:J4"/>
    <mergeCell ref="B5:H5"/>
  </mergeCells>
  <hyperlinks>
    <hyperlink ref="B3" location="'1'!A1" display="Грузооборот по видам транспорта по Российской Федерации годы (с 2000 по 2023 год)" xr:uid="{00000000-0004-0000-0000-000000000000}"/>
    <hyperlink ref="B4:J4" location="'2'!A1" display="Структура грузооборота по видам транспорта по Российской Федерации годы (с 2000 по 2023 год)" xr:uid="{00000000-0004-0000-0000-000001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2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83203125" defaultRowHeight="16" x14ac:dyDescent="0.2"/>
  <cols>
    <col min="1" max="1" width="30.6640625" style="4" customWidth="1"/>
    <col min="2" max="15" width="9.6640625" style="4" customWidth="1"/>
    <col min="16" max="18" width="9.6640625" customWidth="1"/>
    <col min="19" max="22" width="9.6640625" style="5" customWidth="1"/>
    <col min="23" max="26" width="9.6640625" customWidth="1"/>
  </cols>
  <sheetData>
    <row r="1" spans="1:26" x14ac:dyDescent="0.2">
      <c r="A1" s="62"/>
    </row>
    <row r="2" spans="1:26" ht="18.75" customHeight="1" x14ac:dyDescent="0.2">
      <c r="B2" s="83" t="s">
        <v>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5.75" customHeight="1" x14ac:dyDescent="0.2">
      <c r="B3" s="84" t="s">
        <v>6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5" customHeight="1" x14ac:dyDescent="0.2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6"/>
      <c r="S4" s="6"/>
      <c r="T4" s="6"/>
      <c r="U4" s="6"/>
    </row>
    <row r="5" spans="1:26" ht="20" customHeight="1" x14ac:dyDescent="0.2">
      <c r="A5" s="73"/>
      <c r="B5" s="73">
        <v>2000</v>
      </c>
      <c r="C5" s="73">
        <v>2001</v>
      </c>
      <c r="D5" s="73">
        <v>2002</v>
      </c>
      <c r="E5" s="73">
        <v>2003</v>
      </c>
      <c r="F5" s="73">
        <v>2004</v>
      </c>
      <c r="G5" s="73">
        <v>2005</v>
      </c>
      <c r="H5" s="73">
        <v>2006</v>
      </c>
      <c r="I5" s="73">
        <v>2007</v>
      </c>
      <c r="J5" s="73">
        <v>2008</v>
      </c>
      <c r="K5" s="73">
        <v>2009</v>
      </c>
      <c r="L5" s="73">
        <v>2010</v>
      </c>
      <c r="M5" s="73">
        <v>2011</v>
      </c>
      <c r="N5" s="73">
        <v>2012</v>
      </c>
      <c r="O5" s="73">
        <v>2013</v>
      </c>
      <c r="P5" s="73">
        <v>2014</v>
      </c>
      <c r="Q5" s="73">
        <v>2015</v>
      </c>
      <c r="R5" s="73">
        <v>2016</v>
      </c>
      <c r="S5" s="73">
        <v>2017</v>
      </c>
      <c r="T5" s="73">
        <v>2018</v>
      </c>
      <c r="U5" s="73">
        <v>2019</v>
      </c>
      <c r="V5" s="73">
        <v>2020</v>
      </c>
      <c r="W5" s="73">
        <v>2021</v>
      </c>
      <c r="X5" s="73" t="s">
        <v>7</v>
      </c>
      <c r="Y5" s="73" t="s">
        <v>8</v>
      </c>
      <c r="Z5" s="73" t="s">
        <v>30</v>
      </c>
    </row>
    <row r="6" spans="1:26" ht="15" customHeight="1" x14ac:dyDescent="0.2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/>
      <c r="R6" s="10"/>
      <c r="S6" s="11"/>
      <c r="T6" s="11"/>
      <c r="U6" s="11"/>
      <c r="V6" s="11"/>
      <c r="W6" s="11"/>
      <c r="X6" s="11"/>
      <c r="Y6" s="10"/>
      <c r="Z6" s="63"/>
    </row>
    <row r="7" spans="1:26" ht="20" customHeight="1" x14ac:dyDescent="0.2">
      <c r="A7" s="12" t="s">
        <v>9</v>
      </c>
      <c r="B7" s="64">
        <v>3638.1</v>
      </c>
      <c r="C7" s="65">
        <v>3753.6</v>
      </c>
      <c r="D7" s="65">
        <v>3976.3</v>
      </c>
      <c r="E7" s="65">
        <v>4282.5</v>
      </c>
      <c r="F7" s="65">
        <v>4558.2</v>
      </c>
      <c r="G7" s="65">
        <v>4675.5</v>
      </c>
      <c r="H7" s="65">
        <v>4799.7</v>
      </c>
      <c r="I7" s="65">
        <v>4915.2</v>
      </c>
      <c r="J7" s="65">
        <v>4948.3</v>
      </c>
      <c r="K7" s="65">
        <v>4446.3</v>
      </c>
      <c r="L7" s="65">
        <v>4751.7</v>
      </c>
      <c r="M7" s="65">
        <v>4914.5</v>
      </c>
      <c r="N7" s="65">
        <v>5055.5</v>
      </c>
      <c r="O7" s="65">
        <v>5083.7</v>
      </c>
      <c r="P7" s="65">
        <v>5080</v>
      </c>
      <c r="Q7" s="65">
        <v>5108.1000000000004</v>
      </c>
      <c r="R7" s="65">
        <v>5198.3999999999996</v>
      </c>
      <c r="S7" s="65">
        <v>5488</v>
      </c>
      <c r="T7" s="65">
        <v>5635.5</v>
      </c>
      <c r="U7" s="65">
        <v>5678.3</v>
      </c>
      <c r="V7" s="65">
        <v>5401.1</v>
      </c>
      <c r="W7" s="65">
        <v>5712.8</v>
      </c>
      <c r="X7" s="65">
        <v>5582.1</v>
      </c>
      <c r="Y7" s="65">
        <v>5550.9</v>
      </c>
      <c r="Z7" s="66">
        <v>5579</v>
      </c>
    </row>
    <row r="8" spans="1:26" ht="15" customHeight="1" x14ac:dyDescent="0.2">
      <c r="A8" s="13" t="s">
        <v>10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6"/>
      <c r="R8" s="16"/>
      <c r="S8" s="17"/>
      <c r="T8" s="17"/>
      <c r="U8" s="17"/>
      <c r="V8" s="17"/>
      <c r="W8" s="16"/>
      <c r="X8" s="16"/>
      <c r="Y8" s="16"/>
      <c r="Z8" s="67"/>
    </row>
    <row r="9" spans="1:26" ht="20" customHeight="1" x14ac:dyDescent="0.2">
      <c r="A9" s="18" t="s">
        <v>11</v>
      </c>
      <c r="B9" s="19">
        <v>1373.2</v>
      </c>
      <c r="C9" s="20">
        <v>1433.6</v>
      </c>
      <c r="D9" s="20">
        <v>1510.2</v>
      </c>
      <c r="E9" s="20">
        <v>1668.9</v>
      </c>
      <c r="F9" s="20">
        <v>1801.6</v>
      </c>
      <c r="G9" s="20">
        <v>1858.1</v>
      </c>
      <c r="H9" s="20">
        <v>1950.8</v>
      </c>
      <c r="I9" s="20">
        <v>2090.3000000000002</v>
      </c>
      <c r="J9" s="20">
        <v>2116.1999999999998</v>
      </c>
      <c r="K9" s="20">
        <v>1865.3</v>
      </c>
      <c r="L9" s="20">
        <v>2011.3</v>
      </c>
      <c r="M9" s="20">
        <v>2127.8000000000002</v>
      </c>
      <c r="N9" s="20">
        <v>2222.4</v>
      </c>
      <c r="O9" s="20">
        <v>2196.1999999999998</v>
      </c>
      <c r="P9" s="20">
        <v>2300.5</v>
      </c>
      <c r="Q9" s="20">
        <v>2305.9</v>
      </c>
      <c r="R9" s="20">
        <v>2344.1</v>
      </c>
      <c r="S9" s="20">
        <v>2493.4</v>
      </c>
      <c r="T9" s="20">
        <v>2597.8000000000002</v>
      </c>
      <c r="U9" s="20">
        <v>2602.5</v>
      </c>
      <c r="V9" s="20">
        <v>2545.3000000000002</v>
      </c>
      <c r="W9" s="20">
        <v>2639.4</v>
      </c>
      <c r="X9" s="20">
        <v>2637.8</v>
      </c>
      <c r="Y9" s="20">
        <v>2638.3</v>
      </c>
      <c r="Z9" s="68">
        <v>2525.1999999999998</v>
      </c>
    </row>
    <row r="10" spans="1:26" ht="20" customHeight="1" x14ac:dyDescent="0.2">
      <c r="A10" s="21" t="s">
        <v>12</v>
      </c>
      <c r="B10" s="19">
        <v>152.69999999999999</v>
      </c>
      <c r="C10" s="20">
        <v>159.9</v>
      </c>
      <c r="D10" s="20">
        <v>167.2</v>
      </c>
      <c r="E10" s="20">
        <v>173.1</v>
      </c>
      <c r="F10" s="20">
        <v>182.1</v>
      </c>
      <c r="G10" s="20">
        <v>193.6</v>
      </c>
      <c r="H10" s="20">
        <v>198.8</v>
      </c>
      <c r="I10" s="20">
        <v>205.8</v>
      </c>
      <c r="J10" s="20">
        <v>216.3</v>
      </c>
      <c r="K10" s="20">
        <v>180.1</v>
      </c>
      <c r="L10" s="20">
        <v>199.3</v>
      </c>
      <c r="M10" s="20">
        <v>222.8</v>
      </c>
      <c r="N10" s="20">
        <v>248.9</v>
      </c>
      <c r="O10" s="20">
        <v>250.1</v>
      </c>
      <c r="P10" s="20">
        <v>246.8</v>
      </c>
      <c r="Q10" s="20">
        <v>247.1</v>
      </c>
      <c r="R10" s="20">
        <v>248.3</v>
      </c>
      <c r="S10" s="20">
        <v>254.5</v>
      </c>
      <c r="T10" s="20">
        <v>259.10000000000002</v>
      </c>
      <c r="U10" s="20">
        <v>275.39999999999998</v>
      </c>
      <c r="V10" s="20">
        <v>271.8</v>
      </c>
      <c r="W10" s="20">
        <v>296.7</v>
      </c>
      <c r="X10" s="20">
        <v>313.89999999999998</v>
      </c>
      <c r="Y10" s="20">
        <v>362.2</v>
      </c>
      <c r="Z10" s="68">
        <v>387.4</v>
      </c>
    </row>
    <row r="11" spans="1:26" ht="20" customHeight="1" x14ac:dyDescent="0.2">
      <c r="A11" s="21" t="s">
        <v>13</v>
      </c>
      <c r="B11" s="19">
        <v>1916.5</v>
      </c>
      <c r="C11" s="20">
        <v>1961.5</v>
      </c>
      <c r="D11" s="20">
        <v>2099.8000000000002</v>
      </c>
      <c r="E11" s="20">
        <v>2272.5</v>
      </c>
      <c r="F11" s="20">
        <v>2413.1999999999998</v>
      </c>
      <c r="G11" s="20">
        <v>2473.5</v>
      </c>
      <c r="H11" s="20">
        <v>2498.9</v>
      </c>
      <c r="I11" s="20">
        <v>2464.5</v>
      </c>
      <c r="J11" s="20">
        <v>2464.1</v>
      </c>
      <c r="K11" s="20">
        <v>2246.1999999999998</v>
      </c>
      <c r="L11" s="20">
        <v>2382.1</v>
      </c>
      <c r="M11" s="20">
        <v>2421.9</v>
      </c>
      <c r="N11" s="20">
        <v>2453.1</v>
      </c>
      <c r="O11" s="20">
        <v>2512.8000000000002</v>
      </c>
      <c r="P11" s="20">
        <v>2423.1</v>
      </c>
      <c r="Q11" s="20">
        <v>2444.1999999999998</v>
      </c>
      <c r="R11" s="20">
        <v>2489.1</v>
      </c>
      <c r="S11" s="20">
        <v>2614.9</v>
      </c>
      <c r="T11" s="20">
        <v>2667.8</v>
      </c>
      <c r="U11" s="20">
        <v>2686.2</v>
      </c>
      <c r="V11" s="20">
        <v>2470.1</v>
      </c>
      <c r="W11" s="20">
        <v>2653</v>
      </c>
      <c r="X11" s="20">
        <v>2514.8000000000002</v>
      </c>
      <c r="Y11" s="20">
        <v>2423</v>
      </c>
      <c r="Z11" s="68">
        <v>2531.6</v>
      </c>
    </row>
    <row r="12" spans="1:26" ht="15" customHeight="1" x14ac:dyDescent="0.2">
      <c r="A12" s="22" t="s">
        <v>10</v>
      </c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68"/>
    </row>
    <row r="13" spans="1:26" ht="20" customHeight="1" x14ac:dyDescent="0.2">
      <c r="A13" s="13" t="s">
        <v>14</v>
      </c>
      <c r="B13" s="19">
        <v>1171.5</v>
      </c>
      <c r="C13" s="20">
        <v>1164.4000000000001</v>
      </c>
      <c r="D13" s="20">
        <v>1203.4000000000001</v>
      </c>
      <c r="E13" s="20">
        <v>1269.9000000000001</v>
      </c>
      <c r="F13" s="20">
        <v>1297</v>
      </c>
      <c r="G13" s="20">
        <v>1317.2</v>
      </c>
      <c r="H13" s="20">
        <v>1345</v>
      </c>
      <c r="I13" s="20">
        <v>1323.6</v>
      </c>
      <c r="J13" s="20">
        <v>1351.2</v>
      </c>
      <c r="K13" s="20">
        <v>1123.4000000000001</v>
      </c>
      <c r="L13" s="20">
        <v>1259.0999999999999</v>
      </c>
      <c r="M13" s="20">
        <v>1301.8</v>
      </c>
      <c r="N13" s="20">
        <v>1265.5</v>
      </c>
      <c r="O13" s="20">
        <v>1288.9000000000001</v>
      </c>
      <c r="P13" s="20">
        <v>1202.7</v>
      </c>
      <c r="Q13" s="20">
        <v>1175.5999999999999</v>
      </c>
      <c r="R13" s="20">
        <v>1181</v>
      </c>
      <c r="S13" s="20">
        <v>1299.7</v>
      </c>
      <c r="T13" s="20">
        <v>1336.2</v>
      </c>
      <c r="U13" s="20">
        <v>1317.8</v>
      </c>
      <c r="V13" s="20">
        <v>1220.8</v>
      </c>
      <c r="W13" s="20">
        <v>1371.4</v>
      </c>
      <c r="X13" s="20">
        <v>1162.5999999999999</v>
      </c>
      <c r="Y13" s="20" t="s">
        <v>15</v>
      </c>
      <c r="Z13" s="68" t="s">
        <v>15</v>
      </c>
    </row>
    <row r="14" spans="1:26" ht="20" customHeight="1" x14ac:dyDescent="0.2">
      <c r="A14" s="13" t="s">
        <v>16</v>
      </c>
      <c r="B14" s="19">
        <v>717.9</v>
      </c>
      <c r="C14" s="20">
        <v>769.3</v>
      </c>
      <c r="D14" s="20">
        <v>866.7</v>
      </c>
      <c r="E14" s="20">
        <v>970.9</v>
      </c>
      <c r="F14" s="20">
        <v>1083.4000000000001</v>
      </c>
      <c r="G14" s="20">
        <v>1123.0999999999999</v>
      </c>
      <c r="H14" s="20">
        <v>1119.3</v>
      </c>
      <c r="I14" s="20">
        <v>1106.2</v>
      </c>
      <c r="J14" s="20">
        <v>1077.0999999999999</v>
      </c>
      <c r="K14" s="20">
        <v>1087.2</v>
      </c>
      <c r="L14" s="20">
        <v>1084.4000000000001</v>
      </c>
      <c r="M14" s="20">
        <v>1082.5999999999999</v>
      </c>
      <c r="N14" s="20">
        <v>1151.9000000000001</v>
      </c>
      <c r="O14" s="20">
        <v>1182.3</v>
      </c>
      <c r="P14" s="20">
        <v>1178</v>
      </c>
      <c r="Q14" s="20">
        <v>1226.4000000000001</v>
      </c>
      <c r="R14" s="20">
        <v>1262</v>
      </c>
      <c r="S14" s="20">
        <v>1265.4000000000001</v>
      </c>
      <c r="T14" s="20">
        <v>1276.3</v>
      </c>
      <c r="U14" s="20">
        <v>1317.7</v>
      </c>
      <c r="V14" s="20">
        <v>1197.5</v>
      </c>
      <c r="W14" s="20">
        <v>1230.0999999999999</v>
      </c>
      <c r="X14" s="20">
        <v>1301.5</v>
      </c>
      <c r="Y14" s="20" t="s">
        <v>15</v>
      </c>
      <c r="Z14" s="68" t="s">
        <v>15</v>
      </c>
    </row>
    <row r="15" spans="1:26" ht="20" customHeight="1" x14ac:dyDescent="0.2">
      <c r="A15" s="13" t="s">
        <v>17</v>
      </c>
      <c r="B15" s="19">
        <v>27.1</v>
      </c>
      <c r="C15" s="20">
        <v>27.8</v>
      </c>
      <c r="D15" s="20">
        <v>29.7</v>
      </c>
      <c r="E15" s="20">
        <v>31.7</v>
      </c>
      <c r="F15" s="20">
        <v>32.799999999999997</v>
      </c>
      <c r="G15" s="20">
        <v>33.200000000000003</v>
      </c>
      <c r="H15" s="20">
        <v>34.6</v>
      </c>
      <c r="I15" s="20">
        <v>34.700000000000003</v>
      </c>
      <c r="J15" s="20">
        <v>35.799999999999997</v>
      </c>
      <c r="K15" s="20">
        <v>35.6</v>
      </c>
      <c r="L15" s="20">
        <v>38.5</v>
      </c>
      <c r="M15" s="20">
        <v>37.6</v>
      </c>
      <c r="N15" s="20">
        <v>35.799999999999997</v>
      </c>
      <c r="O15" s="20">
        <v>41.7</v>
      </c>
      <c r="P15" s="20">
        <v>42.4</v>
      </c>
      <c r="Q15" s="20">
        <v>42.1</v>
      </c>
      <c r="R15" s="20">
        <v>46.1</v>
      </c>
      <c r="S15" s="20">
        <v>49.9</v>
      </c>
      <c r="T15" s="20">
        <v>55.3</v>
      </c>
      <c r="U15" s="20">
        <v>50.7</v>
      </c>
      <c r="V15" s="20">
        <v>51.8</v>
      </c>
      <c r="W15" s="20">
        <v>51.5</v>
      </c>
      <c r="X15" s="20">
        <v>50.7</v>
      </c>
      <c r="Y15" s="20" t="s">
        <v>15</v>
      </c>
      <c r="Z15" s="68" t="s">
        <v>15</v>
      </c>
    </row>
    <row r="16" spans="1:26" ht="20" customHeight="1" x14ac:dyDescent="0.2">
      <c r="A16" s="21" t="s">
        <v>18</v>
      </c>
      <c r="B16" s="19">
        <v>122.2</v>
      </c>
      <c r="C16" s="20">
        <v>113</v>
      </c>
      <c r="D16" s="20">
        <v>112.3</v>
      </c>
      <c r="E16" s="20">
        <v>84.5</v>
      </c>
      <c r="F16" s="20">
        <v>65.8</v>
      </c>
      <c r="G16" s="20">
        <v>60.3</v>
      </c>
      <c r="H16" s="20">
        <v>61.6</v>
      </c>
      <c r="I16" s="20">
        <v>65</v>
      </c>
      <c r="J16" s="20">
        <v>84.4</v>
      </c>
      <c r="K16" s="20">
        <v>98.4</v>
      </c>
      <c r="L16" s="20">
        <v>100.3</v>
      </c>
      <c r="M16" s="20">
        <v>77.8</v>
      </c>
      <c r="N16" s="20">
        <v>45.3</v>
      </c>
      <c r="O16" s="20">
        <v>39.5</v>
      </c>
      <c r="P16" s="20">
        <v>32.1</v>
      </c>
      <c r="Q16" s="20">
        <v>41.7</v>
      </c>
      <c r="R16" s="20">
        <v>43.1</v>
      </c>
      <c r="S16" s="20">
        <v>50.1</v>
      </c>
      <c r="T16" s="20">
        <v>36.9</v>
      </c>
      <c r="U16" s="20">
        <v>40.799999999999997</v>
      </c>
      <c r="V16" s="20">
        <v>42.5</v>
      </c>
      <c r="W16" s="20">
        <v>43.9</v>
      </c>
      <c r="X16" s="20">
        <v>44.7</v>
      </c>
      <c r="Y16" s="20">
        <v>69.2</v>
      </c>
      <c r="Z16" s="68">
        <v>75.400000000000006</v>
      </c>
    </row>
    <row r="17" spans="1:26" ht="20" customHeight="1" x14ac:dyDescent="0.2">
      <c r="A17" s="21" t="s">
        <v>19</v>
      </c>
      <c r="B17" s="19">
        <v>71</v>
      </c>
      <c r="C17" s="20">
        <v>82.9</v>
      </c>
      <c r="D17" s="20">
        <v>84.1</v>
      </c>
      <c r="E17" s="20">
        <v>80.8</v>
      </c>
      <c r="F17" s="20">
        <v>92.5</v>
      </c>
      <c r="G17" s="20">
        <v>87.2</v>
      </c>
      <c r="H17" s="20">
        <v>86.7</v>
      </c>
      <c r="I17" s="20">
        <v>86</v>
      </c>
      <c r="J17" s="20">
        <v>63.7</v>
      </c>
      <c r="K17" s="20">
        <v>52.7</v>
      </c>
      <c r="L17" s="20">
        <v>54</v>
      </c>
      <c r="M17" s="20">
        <v>59.1</v>
      </c>
      <c r="N17" s="20">
        <v>80.8</v>
      </c>
      <c r="O17" s="20">
        <v>80.099999999999994</v>
      </c>
      <c r="P17" s="20">
        <v>72.3</v>
      </c>
      <c r="Q17" s="20">
        <v>63.6</v>
      </c>
      <c r="R17" s="20">
        <v>67.2</v>
      </c>
      <c r="S17" s="20">
        <v>67.2</v>
      </c>
      <c r="T17" s="20">
        <v>66.099999999999994</v>
      </c>
      <c r="U17" s="20">
        <v>65.900000000000006</v>
      </c>
      <c r="V17" s="20">
        <v>64.3</v>
      </c>
      <c r="W17" s="20">
        <v>70.599999999999994</v>
      </c>
      <c r="X17" s="20">
        <v>68</v>
      </c>
      <c r="Y17" s="20">
        <v>56.6</v>
      </c>
      <c r="Z17" s="68">
        <v>57.5</v>
      </c>
    </row>
    <row r="18" spans="1:26" ht="20" customHeight="1" x14ac:dyDescent="0.2">
      <c r="A18" s="23" t="s">
        <v>20</v>
      </c>
      <c r="B18" s="24">
        <v>2.5</v>
      </c>
      <c r="C18" s="25">
        <v>2.6</v>
      </c>
      <c r="D18" s="25">
        <v>2.7</v>
      </c>
      <c r="E18" s="25">
        <v>2.7</v>
      </c>
      <c r="F18" s="25">
        <v>3</v>
      </c>
      <c r="G18" s="25">
        <v>2.8</v>
      </c>
      <c r="H18" s="25">
        <v>2.9</v>
      </c>
      <c r="I18" s="25">
        <v>3.4</v>
      </c>
      <c r="J18" s="25">
        <v>3.7</v>
      </c>
      <c r="K18" s="25">
        <v>3.6</v>
      </c>
      <c r="L18" s="25">
        <v>4.7</v>
      </c>
      <c r="M18" s="25">
        <v>5</v>
      </c>
      <c r="N18" s="25">
        <v>5.0999999999999996</v>
      </c>
      <c r="O18" s="25">
        <v>5</v>
      </c>
      <c r="P18" s="25">
        <v>5.2</v>
      </c>
      <c r="Q18" s="25">
        <v>5.6</v>
      </c>
      <c r="R18" s="25">
        <v>6.6</v>
      </c>
      <c r="S18" s="25">
        <v>7.9</v>
      </c>
      <c r="T18" s="25">
        <v>7.8</v>
      </c>
      <c r="U18" s="25">
        <v>7.4</v>
      </c>
      <c r="V18" s="25">
        <v>7.1</v>
      </c>
      <c r="W18" s="25">
        <v>9.1999999999999993</v>
      </c>
      <c r="X18" s="25">
        <v>2.8</v>
      </c>
      <c r="Y18" s="25">
        <v>1.7</v>
      </c>
      <c r="Z18" s="69">
        <v>1.9</v>
      </c>
    </row>
    <row r="19" spans="1:26" x14ac:dyDescent="0.2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26" ht="18" x14ac:dyDescent="0.2">
      <c r="A20" s="81" t="s">
        <v>21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</row>
    <row r="21" spans="1:26" ht="18" x14ac:dyDescent="0.2">
      <c r="A21" s="82" t="s">
        <v>22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</row>
    <row r="22" spans="1:26" ht="18" x14ac:dyDescent="0.2">
      <c r="A22" s="82" t="s">
        <v>23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W22" s="28"/>
      <c r="X22" s="28"/>
      <c r="Y22" s="28"/>
    </row>
    <row r="23" spans="1:26" ht="18" x14ac:dyDescent="0.2">
      <c r="A23" s="27" t="s">
        <v>24</v>
      </c>
    </row>
    <row r="24" spans="1:26" x14ac:dyDescent="0.2">
      <c r="A24" s="27"/>
    </row>
    <row r="25" spans="1:26" x14ac:dyDescent="0.2">
      <c r="A25" s="26"/>
    </row>
    <row r="26" spans="1:26" x14ac:dyDescent="0.2">
      <c r="A26" s="26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6" x14ac:dyDescent="0.2">
      <c r="A27" s="26"/>
    </row>
    <row r="28" spans="1:26" x14ac:dyDescent="0.2">
      <c r="A28" s="26"/>
    </row>
    <row r="29" spans="1:26" x14ac:dyDescent="0.2">
      <c r="A29" s="26"/>
    </row>
    <row r="30" spans="1:26" x14ac:dyDescent="0.2">
      <c r="A30" s="26"/>
    </row>
    <row r="31" spans="1:26" x14ac:dyDescent="0.2">
      <c r="A31" s="26"/>
    </row>
    <row r="32" spans="1:26" x14ac:dyDescent="0.2">
      <c r="A32" s="26"/>
    </row>
    <row r="33" spans="1:15" x14ac:dyDescent="0.2">
      <c r="A33" s="26"/>
    </row>
    <row r="34" spans="1:15" x14ac:dyDescent="0.2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1:15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15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5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1:15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1:15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1:15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1:15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1:15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5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5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1:15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spans="1:15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spans="1:15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 spans="1:15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1:15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spans="1:15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1:15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</row>
    <row r="60" spans="1:15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 spans="1:15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</row>
    <row r="62" spans="1:15" x14ac:dyDescent="0.2">
      <c r="A62" s="26"/>
    </row>
  </sheetData>
  <mergeCells count="5">
    <mergeCell ref="A20:R20"/>
    <mergeCell ref="A21:O21"/>
    <mergeCell ref="A22:O22"/>
    <mergeCell ref="B2:Z2"/>
    <mergeCell ref="B3:Z3"/>
  </mergeCells>
  <pageMargins left="0.7" right="0.7" top="0.75" bottom="0.75" header="0.3" footer="0.3"/>
  <pageSetup paperSize="9" scale="52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tabSelected="1" zoomScale="90" zoomScaleNormal="90" workbookViewId="0">
      <pane xSplit="1" ySplit="5" topLeftCell="E6" activePane="bottomRight" state="frozen"/>
      <selection activeCell="Y13" sqref="Y13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.6640625" style="30" customWidth="1"/>
    <col min="2" max="22" width="9.6640625" style="30" customWidth="1"/>
    <col min="23" max="26" width="9.6640625" customWidth="1"/>
  </cols>
  <sheetData>
    <row r="1" spans="1:26" x14ac:dyDescent="0.2">
      <c r="A1" s="62"/>
    </row>
    <row r="2" spans="1:26" s="76" customFormat="1" ht="20" customHeight="1" x14ac:dyDescent="0.2">
      <c r="A2" s="30"/>
      <c r="B2" s="85" t="s">
        <v>25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s="76" customFormat="1" x14ac:dyDescent="0.2">
      <c r="A3" s="30"/>
      <c r="B3" s="86" t="s">
        <v>26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s="76" customFormat="1" x14ac:dyDescent="0.2">
      <c r="A4" s="3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30"/>
      <c r="V4" s="30"/>
    </row>
    <row r="5" spans="1:26" s="77" customFormat="1" ht="20" customHeight="1" x14ac:dyDescent="0.2">
      <c r="A5" s="74"/>
      <c r="B5" s="31">
        <v>2000</v>
      </c>
      <c r="C5" s="31">
        <v>2001</v>
      </c>
      <c r="D5" s="31">
        <v>2002</v>
      </c>
      <c r="E5" s="75">
        <v>2003</v>
      </c>
      <c r="F5" s="75">
        <v>2004</v>
      </c>
      <c r="G5" s="31">
        <v>2005</v>
      </c>
      <c r="H5" s="31">
        <v>2006</v>
      </c>
      <c r="I5" s="31">
        <v>2007</v>
      </c>
      <c r="J5" s="31">
        <v>2008</v>
      </c>
      <c r="K5" s="31">
        <v>2009</v>
      </c>
      <c r="L5" s="31">
        <v>2010</v>
      </c>
      <c r="M5" s="31">
        <v>2011</v>
      </c>
      <c r="N5" s="31">
        <v>2012</v>
      </c>
      <c r="O5" s="31">
        <v>2013</v>
      </c>
      <c r="P5" s="31">
        <v>2014</v>
      </c>
      <c r="Q5" s="31">
        <v>2015</v>
      </c>
      <c r="R5" s="31">
        <v>2016</v>
      </c>
      <c r="S5" s="31">
        <v>2017</v>
      </c>
      <c r="T5" s="31">
        <v>2018</v>
      </c>
      <c r="U5" s="31">
        <v>2019</v>
      </c>
      <c r="V5" s="31">
        <v>2020</v>
      </c>
      <c r="W5" s="31">
        <v>2021</v>
      </c>
      <c r="X5" s="31">
        <v>2022</v>
      </c>
      <c r="Y5" s="31">
        <v>2023</v>
      </c>
      <c r="Z5" s="31">
        <v>2024</v>
      </c>
    </row>
    <row r="6" spans="1:26" s="76" customFormat="1" ht="15" customHeight="1" x14ac:dyDescent="0.2">
      <c r="A6" s="32"/>
      <c r="B6" s="33"/>
      <c r="C6" s="34"/>
      <c r="D6" s="35"/>
      <c r="E6" s="34"/>
      <c r="F6" s="35"/>
      <c r="G6" s="34"/>
      <c r="H6" s="35"/>
      <c r="I6" s="34"/>
      <c r="J6" s="35"/>
      <c r="K6" s="34"/>
      <c r="L6" s="35"/>
      <c r="M6" s="34"/>
      <c r="N6" s="35"/>
      <c r="O6" s="34"/>
      <c r="P6" s="35"/>
      <c r="Q6" s="34"/>
      <c r="R6" s="36"/>
      <c r="S6" s="37"/>
      <c r="T6" s="36"/>
      <c r="U6" s="37"/>
      <c r="V6" s="38"/>
      <c r="W6" s="38"/>
      <c r="X6" s="38"/>
      <c r="Y6" s="38"/>
      <c r="Z6" s="38"/>
    </row>
    <row r="7" spans="1:26" s="76" customFormat="1" ht="20" customHeight="1" x14ac:dyDescent="0.2">
      <c r="A7" s="78" t="s">
        <v>9</v>
      </c>
      <c r="B7" s="39">
        <f t="shared" ref="B7:V7" si="0">B9+B11+B13+B12+B10</f>
        <v>99.97</v>
      </c>
      <c r="C7" s="40">
        <f t="shared" si="0"/>
        <v>99.969999999999985</v>
      </c>
      <c r="D7" s="41">
        <f t="shared" si="0"/>
        <v>99.97</v>
      </c>
      <c r="E7" s="40">
        <f t="shared" si="0"/>
        <v>99.960000000000008</v>
      </c>
      <c r="F7" s="41">
        <f t="shared" si="0"/>
        <v>99.97</v>
      </c>
      <c r="G7" s="40">
        <f t="shared" si="0"/>
        <v>99.960000000000008</v>
      </c>
      <c r="H7" s="41">
        <f t="shared" si="0"/>
        <v>99.960000000000008</v>
      </c>
      <c r="I7" s="40">
        <f t="shared" si="0"/>
        <v>99.97</v>
      </c>
      <c r="J7" s="41">
        <f t="shared" si="0"/>
        <v>99.969999999999985</v>
      </c>
      <c r="K7" s="40">
        <f t="shared" si="0"/>
        <v>99.98</v>
      </c>
      <c r="L7" s="41">
        <f t="shared" si="0"/>
        <v>100</v>
      </c>
      <c r="M7" s="40">
        <f t="shared" si="0"/>
        <v>99.999999999999986</v>
      </c>
      <c r="N7" s="41">
        <f t="shared" si="0"/>
        <v>100</v>
      </c>
      <c r="O7" s="40">
        <f t="shared" si="0"/>
        <v>100</v>
      </c>
      <c r="P7" s="41">
        <f t="shared" si="0"/>
        <v>100</v>
      </c>
      <c r="Q7" s="40">
        <f t="shared" si="0"/>
        <v>100.01</v>
      </c>
      <c r="R7" s="41">
        <f t="shared" si="0"/>
        <v>100.02999999999999</v>
      </c>
      <c r="S7" s="40">
        <f t="shared" si="0"/>
        <v>100.04</v>
      </c>
      <c r="T7" s="41">
        <f t="shared" si="0"/>
        <v>100.04</v>
      </c>
      <c r="U7" s="40">
        <f t="shared" si="0"/>
        <v>100.03</v>
      </c>
      <c r="V7" s="42">
        <f t="shared" si="0"/>
        <v>100.03</v>
      </c>
      <c r="W7" s="42">
        <f>W9+W11+W13+W12+W10</f>
        <v>99.960000000000008</v>
      </c>
      <c r="X7" s="42">
        <f>X9+X11+X13+X12+X10</f>
        <v>99.95</v>
      </c>
      <c r="Y7" s="42">
        <f>Y9+Y11+Y13+Y12+Y10</f>
        <v>100.03</v>
      </c>
      <c r="Z7" s="42">
        <f>Z9+Z11+Z13+Z12+Z10</f>
        <v>100.03</v>
      </c>
    </row>
    <row r="8" spans="1:26" s="76" customFormat="1" ht="15" customHeight="1" x14ac:dyDescent="0.2">
      <c r="A8" s="79" t="s">
        <v>10</v>
      </c>
      <c r="B8" s="14"/>
      <c r="C8" s="43"/>
      <c r="D8" s="15"/>
      <c r="E8" s="43"/>
      <c r="F8" s="15"/>
      <c r="G8" s="43"/>
      <c r="H8" s="15"/>
      <c r="I8" s="43"/>
      <c r="J8" s="15"/>
      <c r="K8" s="43"/>
      <c r="L8" s="15"/>
      <c r="M8" s="43"/>
      <c r="N8" s="15"/>
      <c r="O8" s="43"/>
      <c r="P8" s="15"/>
      <c r="Q8" s="43"/>
      <c r="R8" s="15"/>
      <c r="S8" s="43"/>
      <c r="T8" s="15"/>
      <c r="U8" s="43"/>
      <c r="V8" s="44"/>
      <c r="W8" s="44"/>
      <c r="X8" s="44"/>
      <c r="Y8" s="44"/>
      <c r="Z8" s="44"/>
    </row>
    <row r="9" spans="1:26" s="76" customFormat="1" ht="20" customHeight="1" x14ac:dyDescent="0.2">
      <c r="A9" s="45" t="s">
        <v>11</v>
      </c>
      <c r="B9" s="46">
        <v>37.700000000000003</v>
      </c>
      <c r="C9" s="47">
        <v>38.200000000000003</v>
      </c>
      <c r="D9" s="48">
        <v>38</v>
      </c>
      <c r="E9" s="47">
        <v>39</v>
      </c>
      <c r="F9" s="48">
        <v>39.5</v>
      </c>
      <c r="G9" s="47">
        <v>39.700000000000003</v>
      </c>
      <c r="H9" s="48">
        <v>40.6</v>
      </c>
      <c r="I9" s="47">
        <v>42.5</v>
      </c>
      <c r="J9" s="48">
        <v>42.8</v>
      </c>
      <c r="K9" s="47">
        <v>42</v>
      </c>
      <c r="L9" s="48">
        <v>42.3</v>
      </c>
      <c r="M9" s="47">
        <v>43.3</v>
      </c>
      <c r="N9" s="48">
        <v>44</v>
      </c>
      <c r="O9" s="47">
        <v>43.2</v>
      </c>
      <c r="P9" s="48">
        <v>45.3</v>
      </c>
      <c r="Q9" s="47">
        <v>45.2</v>
      </c>
      <c r="R9" s="48">
        <v>45.1</v>
      </c>
      <c r="S9" s="47">
        <v>45.5</v>
      </c>
      <c r="T9" s="48">
        <v>46.1</v>
      </c>
      <c r="U9" s="43">
        <v>45.8</v>
      </c>
      <c r="V9" s="44">
        <v>47.2</v>
      </c>
      <c r="W9" s="44">
        <v>46.2</v>
      </c>
      <c r="X9" s="44">
        <v>47.2</v>
      </c>
      <c r="Y9" s="44">
        <v>47.5</v>
      </c>
      <c r="Z9" s="44">
        <v>45.3</v>
      </c>
    </row>
    <row r="10" spans="1:26" s="76" customFormat="1" ht="20" customHeight="1" x14ac:dyDescent="0.2">
      <c r="A10" s="45" t="s">
        <v>27</v>
      </c>
      <c r="B10" s="58">
        <v>7.0000000000000007E-2</v>
      </c>
      <c r="C10" s="59">
        <v>7.0000000000000007E-2</v>
      </c>
      <c r="D10" s="60">
        <v>7.0000000000000007E-2</v>
      </c>
      <c r="E10" s="59">
        <v>0.06</v>
      </c>
      <c r="F10" s="60">
        <v>7.0000000000000007E-2</v>
      </c>
      <c r="G10" s="59">
        <v>0.06</v>
      </c>
      <c r="H10" s="60">
        <v>0.06</v>
      </c>
      <c r="I10" s="59">
        <v>7.0000000000000007E-2</v>
      </c>
      <c r="J10" s="60">
        <v>7.0000000000000007E-2</v>
      </c>
      <c r="K10" s="59">
        <v>0.08</v>
      </c>
      <c r="L10" s="60">
        <v>0.1</v>
      </c>
      <c r="M10" s="59">
        <v>0.1</v>
      </c>
      <c r="N10" s="60">
        <v>0.1</v>
      </c>
      <c r="O10" s="59">
        <v>0.1</v>
      </c>
      <c r="P10" s="60">
        <v>0.1</v>
      </c>
      <c r="Q10" s="59">
        <v>0.11</v>
      </c>
      <c r="R10" s="60">
        <v>0.13</v>
      </c>
      <c r="S10" s="59">
        <v>0.14000000000000001</v>
      </c>
      <c r="T10" s="60">
        <v>0.14000000000000001</v>
      </c>
      <c r="U10" s="59">
        <v>0.13</v>
      </c>
      <c r="V10" s="50">
        <v>0.13</v>
      </c>
      <c r="W10" s="50">
        <v>0.16</v>
      </c>
      <c r="X10" s="50">
        <v>0.05</v>
      </c>
      <c r="Y10" s="50">
        <v>0.03</v>
      </c>
      <c r="Z10" s="50">
        <v>0.03</v>
      </c>
    </row>
    <row r="11" spans="1:26" s="76" customFormat="1" ht="20" customHeight="1" x14ac:dyDescent="0.2">
      <c r="A11" s="45" t="s">
        <v>12</v>
      </c>
      <c r="B11" s="46">
        <v>4.2</v>
      </c>
      <c r="C11" s="47">
        <v>4.3</v>
      </c>
      <c r="D11" s="48">
        <v>4.2</v>
      </c>
      <c r="E11" s="47">
        <v>4.0999999999999996</v>
      </c>
      <c r="F11" s="48">
        <v>4</v>
      </c>
      <c r="G11" s="47">
        <v>4.0999999999999996</v>
      </c>
      <c r="H11" s="48">
        <v>4.0999999999999996</v>
      </c>
      <c r="I11" s="47">
        <v>4.2</v>
      </c>
      <c r="J11" s="48">
        <v>4.4000000000000004</v>
      </c>
      <c r="K11" s="47">
        <v>4.0999999999999996</v>
      </c>
      <c r="L11" s="48">
        <v>4.2</v>
      </c>
      <c r="M11" s="47">
        <v>4.5</v>
      </c>
      <c r="N11" s="48">
        <v>4.9000000000000004</v>
      </c>
      <c r="O11" s="47">
        <v>4.9000000000000004</v>
      </c>
      <c r="P11" s="48">
        <v>4.9000000000000004</v>
      </c>
      <c r="Q11" s="47">
        <v>4.8</v>
      </c>
      <c r="R11" s="48">
        <v>4.8</v>
      </c>
      <c r="S11" s="47">
        <v>4.5999999999999996</v>
      </c>
      <c r="T11" s="48">
        <v>4.5999999999999996</v>
      </c>
      <c r="U11" s="47">
        <v>4.9000000000000004</v>
      </c>
      <c r="V11" s="49">
        <v>5</v>
      </c>
      <c r="W11" s="49">
        <v>5.2</v>
      </c>
      <c r="X11" s="49">
        <v>5.6</v>
      </c>
      <c r="Y11" s="49">
        <v>6.5</v>
      </c>
      <c r="Z11" s="49">
        <v>6.9</v>
      </c>
    </row>
    <row r="12" spans="1:26" s="76" customFormat="1" ht="20" customHeight="1" x14ac:dyDescent="0.2">
      <c r="A12" s="45" t="s">
        <v>28</v>
      </c>
      <c r="B12" s="46">
        <v>5.3</v>
      </c>
      <c r="C12" s="47">
        <v>5.2</v>
      </c>
      <c r="D12" s="48">
        <v>4.9000000000000004</v>
      </c>
      <c r="E12" s="47">
        <v>3.9</v>
      </c>
      <c r="F12" s="48">
        <v>3.5</v>
      </c>
      <c r="G12" s="47">
        <v>3.2</v>
      </c>
      <c r="H12" s="48">
        <v>3.1</v>
      </c>
      <c r="I12" s="47">
        <v>3.1</v>
      </c>
      <c r="J12" s="48">
        <v>3</v>
      </c>
      <c r="K12" s="47">
        <v>3.4</v>
      </c>
      <c r="L12" s="48">
        <v>3.2</v>
      </c>
      <c r="M12" s="47">
        <v>2.8</v>
      </c>
      <c r="N12" s="48">
        <v>2.5</v>
      </c>
      <c r="O12" s="47">
        <v>2.4</v>
      </c>
      <c r="P12" s="48">
        <v>2</v>
      </c>
      <c r="Q12" s="47">
        <v>2</v>
      </c>
      <c r="R12" s="48">
        <v>2.1</v>
      </c>
      <c r="S12" s="47">
        <v>2.1</v>
      </c>
      <c r="T12" s="48">
        <v>1.9</v>
      </c>
      <c r="U12" s="43">
        <v>1.9</v>
      </c>
      <c r="V12" s="49">
        <v>2</v>
      </c>
      <c r="W12" s="49">
        <v>2</v>
      </c>
      <c r="X12" s="49">
        <v>2</v>
      </c>
      <c r="Y12" s="49">
        <v>2.2999999999999998</v>
      </c>
      <c r="Z12" s="49">
        <v>2.4</v>
      </c>
    </row>
    <row r="13" spans="1:26" s="76" customFormat="1" ht="20" customHeight="1" x14ac:dyDescent="0.2">
      <c r="A13" s="51" t="s">
        <v>29</v>
      </c>
      <c r="B13" s="52">
        <v>52.7</v>
      </c>
      <c r="C13" s="53">
        <v>52.199999999999996</v>
      </c>
      <c r="D13" s="54">
        <v>52.8</v>
      </c>
      <c r="E13" s="53">
        <v>52.9</v>
      </c>
      <c r="F13" s="54">
        <v>52.9</v>
      </c>
      <c r="G13" s="53">
        <v>52.9</v>
      </c>
      <c r="H13" s="54">
        <v>52.1</v>
      </c>
      <c r="I13" s="53">
        <v>50.1</v>
      </c>
      <c r="J13" s="54">
        <v>49.699999999999996</v>
      </c>
      <c r="K13" s="53">
        <v>50.4</v>
      </c>
      <c r="L13" s="54">
        <v>50.2</v>
      </c>
      <c r="M13" s="53">
        <v>49.3</v>
      </c>
      <c r="N13" s="54">
        <v>48.5</v>
      </c>
      <c r="O13" s="53">
        <v>49.4</v>
      </c>
      <c r="P13" s="54">
        <v>47.7</v>
      </c>
      <c r="Q13" s="53">
        <v>47.9</v>
      </c>
      <c r="R13" s="54">
        <v>47.9</v>
      </c>
      <c r="S13" s="53">
        <v>47.7</v>
      </c>
      <c r="T13" s="54">
        <v>47.3</v>
      </c>
      <c r="U13" s="55">
        <v>47.3</v>
      </c>
      <c r="V13" s="56">
        <v>45.7</v>
      </c>
      <c r="W13" s="56">
        <v>46.4</v>
      </c>
      <c r="X13" s="56">
        <v>45.1</v>
      </c>
      <c r="Y13" s="56">
        <v>43.7</v>
      </c>
      <c r="Z13" s="56">
        <v>45.4</v>
      </c>
    </row>
    <row r="15" spans="1:26" ht="18" x14ac:dyDescent="0.2">
      <c r="A15" s="81" t="s">
        <v>21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</row>
    <row r="17" spans="2:26" x14ac:dyDescent="0.2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2:26" x14ac:dyDescent="0.2"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2:26" x14ac:dyDescent="0.2"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2:26" x14ac:dyDescent="0.2"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</sheetData>
  <mergeCells count="3">
    <mergeCell ref="A15:R15"/>
    <mergeCell ref="B2:Z2"/>
    <mergeCell ref="B3:Z3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cp:revision>1</cp:revision>
  <dcterms:created xsi:type="dcterms:W3CDTF">2006-09-16T00:00:00Z</dcterms:created>
  <dcterms:modified xsi:type="dcterms:W3CDTF">2026-03-26T10:31:50Z</dcterms:modified>
</cp:coreProperties>
</file>