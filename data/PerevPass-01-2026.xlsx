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31AF4E39-D1C6-604B-9B6D-D956AAD40E7C}" xr6:coauthVersionLast="47" xr6:coauthVersionMax="47" xr10:uidLastSave="{00000000-0000-0000-0000-000000000000}"/>
  <bookViews>
    <workbookView xWindow="360" yWindow="740" windowWidth="20960" windowHeight="9720" xr2:uid="{00000000-000D-0000-FFFF-FFFF00000000}"/>
  </bookViews>
  <sheets>
    <sheet name="Содержание" sheetId="1" r:id="rId1"/>
    <sheet name="1" sheetId="2" r:id="rId2"/>
    <sheet name="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3" l="1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</calcChain>
</file>

<file path=xl/sharedStrings.xml><?xml version="1.0" encoding="utf-8"?>
<sst xmlns="http://schemas.openxmlformats.org/spreadsheetml/2006/main" count="36" uniqueCount="32">
  <si>
    <t>1.</t>
  </si>
  <si>
    <t>Перевозки пассажиров по видам транспорта общего пользования по Российской Федерации (с 2000 по 2024 год)</t>
  </si>
  <si>
    <t>2.</t>
  </si>
  <si>
    <t>Структура перевозок пассажиров по видам транспорта общего пользования по Российской Федерации (с 2000 по 2024 год)</t>
  </si>
  <si>
    <t>Ответственный исполнитель:</t>
  </si>
  <si>
    <t>Смирнова Татьяна Александровна</t>
  </si>
  <si>
    <t>8 (495) 568-00-42 (доб. 99-354)</t>
  </si>
  <si>
    <t>Перевозки пассажиров по видам транспорта общего пользования по Российской Федерации</t>
  </si>
  <si>
    <t>(миллион человек)</t>
  </si>
  <si>
    <r>
      <t>2022</t>
    </r>
    <r>
      <rPr>
        <vertAlign val="superscript"/>
        <sz val="12"/>
        <color theme="1"/>
        <rFont val="Times New Roman"/>
      </rPr>
      <t>1)</t>
    </r>
  </si>
  <si>
    <r>
      <t>2023</t>
    </r>
    <r>
      <rPr>
        <vertAlign val="superscript"/>
        <sz val="12"/>
        <color theme="1"/>
        <rFont val="Times New Roman"/>
      </rPr>
      <t>1)</t>
    </r>
  </si>
  <si>
    <r>
      <t>2024</t>
    </r>
    <r>
      <rPr>
        <vertAlign val="superscript"/>
        <sz val="12"/>
        <color theme="1"/>
        <rFont val="Times New Roman"/>
      </rPr>
      <t>1)</t>
    </r>
  </si>
  <si>
    <t xml:space="preserve">Транспорт - всего </t>
  </si>
  <si>
    <t>в том числе:</t>
  </si>
  <si>
    <t>железнодорожный</t>
  </si>
  <si>
    <r>
      <t>автобусный</t>
    </r>
    <r>
      <rPr>
        <vertAlign val="superscript"/>
        <sz val="12"/>
        <rFont val="Times New Roman"/>
      </rPr>
      <t>2)</t>
    </r>
  </si>
  <si>
    <t>трамвайный</t>
  </si>
  <si>
    <t>троллейбусный</t>
  </si>
  <si>
    <t>метрополитен</t>
  </si>
  <si>
    <r>
      <t>морской</t>
    </r>
    <r>
      <rPr>
        <vertAlign val="superscript"/>
        <sz val="12"/>
        <rFont val="Times New Roman"/>
      </rPr>
      <t>3)</t>
    </r>
  </si>
  <si>
    <r>
      <t>внутренний водный</t>
    </r>
    <r>
      <rPr>
        <vertAlign val="superscript"/>
        <sz val="12"/>
        <rFont val="Times New Roman"/>
      </rPr>
      <t>3)</t>
    </r>
  </si>
  <si>
    <r>
      <t>воздушный</t>
    </r>
    <r>
      <rPr>
        <vertAlign val="superscript"/>
        <sz val="12"/>
        <rFont val="Times New Roman"/>
      </rPr>
      <t xml:space="preserve">4) </t>
    </r>
  </si>
  <si>
    <r>
      <rPr>
        <vertAlign val="superscript"/>
        <sz val="12"/>
        <rFont val="Times New Roman"/>
      </rPr>
      <t>1)</t>
    </r>
    <r>
      <rPr>
        <sz val="12"/>
        <rFont val="Times New Roman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</si>
  <si>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2"/>
        <rFont val="Times New Roman"/>
      </rPr>
      <t xml:space="preserve">2) </t>
    </r>
    <r>
      <rPr>
        <sz val="12"/>
        <rFont val="Times New Roman"/>
      </rPr>
      <t>Данные приведены по юридическим лицам и индивидуальным предпринимателям  (включая субъекты малого предпринимательства), осуществляющим перевозки пассажиров автобусами.</t>
    </r>
  </si>
  <si>
    <r>
      <rPr>
        <vertAlign val="superscript"/>
        <sz val="12"/>
        <rFont val="Times New Roman"/>
      </rPr>
      <t xml:space="preserve">3) </t>
    </r>
    <r>
      <rPr>
        <sz val="12"/>
        <rFont val="Times New Roman"/>
      </rPr>
      <t>С 2015 г. - по данным Росморречфлота.</t>
    </r>
  </si>
  <si>
    <r>
      <rPr>
        <vertAlign val="superscript"/>
        <sz val="12"/>
        <rFont val="Times New Roman"/>
      </rPr>
      <t>4)</t>
    </r>
    <r>
      <rPr>
        <sz val="12"/>
        <rFont val="Times New Roman"/>
      </rPr>
      <t xml:space="preserve"> По данным Росавиации.</t>
    </r>
  </si>
  <si>
    <t>Структура перевозок пассажиров по видам транспорта по Российской Федерации</t>
  </si>
  <si>
    <t>(процент)</t>
  </si>
  <si>
    <t>воздушный</t>
  </si>
  <si>
    <t>автомобильный</t>
  </si>
  <si>
    <t>водный</t>
  </si>
  <si>
    <t>городской электрический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</si>
</sst>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0"/>
      <name val="Arial"/>
    </font>
    <font>
      <sz val="12"/>
      <color theme="1"/>
      <name val="Times New Roman"/>
    </font>
    <font>
      <sz val="14"/>
      <color theme="1"/>
      <name val="Times New Roman"/>
    </font>
    <font>
      <u/>
      <sz val="12"/>
      <color theme="10"/>
      <name val="Times New Roman"/>
    </font>
    <font>
      <u/>
      <sz val="14"/>
      <color theme="10"/>
      <name val="Times New Roman"/>
    </font>
    <font>
      <b/>
      <sz val="12"/>
      <name val="Times New Roman"/>
    </font>
    <font>
      <b/>
      <sz val="12"/>
      <color theme="1"/>
      <name val="Times New Roman"/>
    </font>
    <font>
      <sz val="12"/>
      <name val="Times New Roman"/>
    </font>
    <font>
      <sz val="1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b/>
      <sz val="14"/>
      <name val="Times New Roman"/>
    </font>
    <font>
      <vertAlign val="superscript"/>
      <sz val="12"/>
      <name val="Times New Roman"/>
    </font>
    <font>
      <b/>
      <sz val="11"/>
      <name val="Times New Roman"/>
    </font>
    <font>
      <vertAlign val="superscript"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" fillId="0" borderId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1" applyFont="1"/>
    <xf numFmtId="0" fontId="6" fillId="0" borderId="0" xfId="1" applyFont="1"/>
    <xf numFmtId="0" fontId="6" fillId="0" borderId="0" xfId="1" applyFont="1" applyAlignment="1">
      <alignment horizontal="left"/>
    </xf>
    <xf numFmtId="0" fontId="4" fillId="0" borderId="0" xfId="0" applyFont="1" applyAlignment="1">
      <alignment horizontal="right"/>
    </xf>
    <xf numFmtId="0" fontId="7" fillId="0" borderId="0" xfId="2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1" applyFont="1" applyAlignment="1">
      <alignment horizontal="left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/>
    <xf numFmtId="0" fontId="3" fillId="0" borderId="6" xfId="0" applyFont="1" applyBorder="1"/>
    <xf numFmtId="0" fontId="3" fillId="0" borderId="7" xfId="0" applyFont="1" applyBorder="1"/>
    <xf numFmtId="0" fontId="7" fillId="0" borderId="8" xfId="0" applyFont="1" applyBorder="1"/>
    <xf numFmtId="164" fontId="7" fillId="0" borderId="9" xfId="0" applyNumberFormat="1" applyFont="1" applyBorder="1"/>
    <xf numFmtId="164" fontId="7" fillId="0" borderId="10" xfId="0" applyNumberFormat="1" applyFont="1" applyBorder="1"/>
    <xf numFmtId="164" fontId="8" fillId="0" borderId="10" xfId="0" applyNumberFormat="1" applyFont="1" applyBorder="1"/>
    <xf numFmtId="164" fontId="8" fillId="0" borderId="11" xfId="0" applyNumberFormat="1" applyFont="1" applyBorder="1"/>
    <xf numFmtId="0" fontId="9" fillId="0" borderId="12" xfId="0" applyFont="1" applyBorder="1" applyAlignment="1">
      <alignment horizontal="left" indent="3"/>
    </xf>
    <xf numFmtId="164" fontId="9" fillId="0" borderId="13" xfId="0" applyNumberFormat="1" applyFont="1" applyBorder="1"/>
    <xf numFmtId="164" fontId="9" fillId="0" borderId="14" xfId="0" applyNumberFormat="1" applyFont="1" applyBorder="1"/>
    <xf numFmtId="164" fontId="3" fillId="0" borderId="14" xfId="0" applyNumberFormat="1" applyFont="1" applyBorder="1"/>
    <xf numFmtId="164" fontId="3" fillId="0" borderId="15" xfId="0" applyNumberFormat="1" applyFont="1" applyBorder="1"/>
    <xf numFmtId="0" fontId="9" fillId="0" borderId="8" xfId="0" applyFont="1" applyBorder="1" applyAlignment="1">
      <alignment horizontal="left" indent="1"/>
    </xf>
    <xf numFmtId="165" fontId="0" fillId="0" borderId="0" xfId="0" applyNumberFormat="1"/>
    <xf numFmtId="0" fontId="9" fillId="0" borderId="12" xfId="0" applyFont="1" applyBorder="1" applyAlignment="1">
      <alignment horizontal="left" wrapText="1" indent="1"/>
    </xf>
    <xf numFmtId="0" fontId="9" fillId="0" borderId="12" xfId="0" applyFont="1" applyBorder="1" applyAlignment="1">
      <alignment horizontal="left" indent="1"/>
    </xf>
    <xf numFmtId="0" fontId="9" fillId="0" borderId="16" xfId="0" applyFont="1" applyBorder="1" applyAlignment="1">
      <alignment horizontal="left" indent="1"/>
    </xf>
    <xf numFmtId="164" fontId="9" fillId="0" borderId="17" xfId="0" applyNumberFormat="1" applyFont="1" applyBorder="1"/>
    <xf numFmtId="164" fontId="9" fillId="0" borderId="18" xfId="0" applyNumberFormat="1" applyFont="1" applyBorder="1"/>
    <xf numFmtId="164" fontId="3" fillId="0" borderId="18" xfId="0" applyNumberFormat="1" applyFont="1" applyBorder="1"/>
    <xf numFmtId="164" fontId="3" fillId="0" borderId="19" xfId="0" applyNumberFormat="1" applyFont="1" applyBorder="1"/>
    <xf numFmtId="164" fontId="0" fillId="0" borderId="0" xfId="0" applyNumberFormat="1"/>
    <xf numFmtId="0" fontId="1" fillId="0" borderId="0" xfId="1"/>
    <xf numFmtId="0" fontId="10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0" fillId="0" borderId="3" xfId="0" applyFont="1" applyBorder="1"/>
    <xf numFmtId="0" fontId="15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/>
    <xf numFmtId="165" fontId="15" fillId="0" borderId="10" xfId="0" applyNumberFormat="1" applyFont="1" applyBorder="1"/>
    <xf numFmtId="165" fontId="15" fillId="0" borderId="24" xfId="0" applyNumberFormat="1" applyFont="1" applyBorder="1"/>
    <xf numFmtId="165" fontId="15" fillId="0" borderId="11" xfId="0" applyNumberFormat="1" applyFont="1" applyBorder="1"/>
    <xf numFmtId="0" fontId="10" fillId="0" borderId="8" xfId="0" applyFont="1" applyBorder="1" applyAlignment="1">
      <alignment horizontal="left" indent="3"/>
    </xf>
    <xf numFmtId="0" fontId="10" fillId="0" borderId="14" xfId="0" applyFont="1" applyBorder="1"/>
    <xf numFmtId="0" fontId="10" fillId="0" borderId="8" xfId="0" applyFont="1" applyBorder="1"/>
    <xf numFmtId="0" fontId="10" fillId="0" borderId="15" xfId="0" applyFont="1" applyBorder="1"/>
    <xf numFmtId="0" fontId="10" fillId="0" borderId="8" xfId="0" applyFont="1" applyBorder="1" applyAlignment="1">
      <alignment horizontal="left" indent="1"/>
    </xf>
    <xf numFmtId="165" fontId="10" fillId="0" borderId="14" xfId="0" applyNumberFormat="1" applyFont="1" applyBorder="1"/>
    <xf numFmtId="165" fontId="10" fillId="0" borderId="8" xfId="0" applyNumberFormat="1" applyFont="1" applyBorder="1"/>
    <xf numFmtId="165" fontId="10" fillId="0" borderId="15" xfId="0" applyNumberFormat="1" applyFont="1" applyBorder="1"/>
    <xf numFmtId="0" fontId="10" fillId="0" borderId="25" xfId="0" applyFont="1" applyBorder="1" applyAlignment="1">
      <alignment horizontal="left" indent="1"/>
    </xf>
    <xf numFmtId="165" fontId="10" fillId="0" borderId="18" xfId="0" applyNumberFormat="1" applyFont="1" applyBorder="1"/>
    <xf numFmtId="165" fontId="10" fillId="0" borderId="25" xfId="0" applyNumberFormat="1" applyFont="1" applyBorder="1"/>
    <xf numFmtId="0" fontId="10" fillId="0" borderId="25" xfId="0" applyFont="1" applyBorder="1"/>
    <xf numFmtId="0" fontId="10" fillId="0" borderId="19" xfId="0" applyFont="1" applyBorder="1"/>
    <xf numFmtId="165" fontId="10" fillId="0" borderId="19" xfId="0" applyNumberFormat="1" applyFont="1" applyBorder="1"/>
    <xf numFmtId="0" fontId="15" fillId="0" borderId="0" xfId="0" applyFont="1"/>
    <xf numFmtId="165" fontId="10" fillId="0" borderId="0" xfId="0" applyNumberFormat="1" applyFont="1"/>
    <xf numFmtId="2" fontId="10" fillId="0" borderId="0" xfId="0" applyNumberFormat="1" applyFont="1"/>
    <xf numFmtId="0" fontId="1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370981</xdr:colOff>
      <xdr:row>3</xdr:row>
      <xdr:rowOff>160422</xdr:rowOff>
    </xdr:from>
    <xdr:ext cx="259430" cy="19556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 bwMode="auto">
        <a:xfrm>
          <a:off x="16425898" y="594339"/>
          <a:ext cx="259430" cy="195566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24</xdr:col>
      <xdr:colOff>370981</xdr:colOff>
      <xdr:row>3</xdr:row>
      <xdr:rowOff>160422</xdr:rowOff>
    </xdr:from>
    <xdr:ext cx="259430" cy="19556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 bwMode="auto">
        <a:xfrm>
          <a:off x="16349169" y="58904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25</xdr:col>
      <xdr:colOff>370981</xdr:colOff>
      <xdr:row>3</xdr:row>
      <xdr:rowOff>160422</xdr:rowOff>
    </xdr:from>
    <xdr:ext cx="259430" cy="19556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 bwMode="auto">
        <a:xfrm>
          <a:off x="16956387" y="589047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  <xdr:oneCellAnchor>
    <xdr:from>
      <xdr:col>23</xdr:col>
      <xdr:colOff>380997</xdr:colOff>
      <xdr:row>3</xdr:row>
      <xdr:rowOff>179917</xdr:rowOff>
    </xdr:from>
    <xdr:ext cx="259430" cy="19556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 bwMode="auto">
        <a:xfrm>
          <a:off x="16435914" y="804334"/>
          <a:ext cx="259430" cy="19556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r>
            <a:rPr lang="ru-RU" sz="700">
              <a:latin typeface="Times New Roman"/>
              <a:cs typeface="Times New Roman"/>
            </a:rPr>
            <a:t>1)</a:t>
          </a:r>
          <a:endParaRPr lang="ru-RU" sz="1050">
            <a:latin typeface="Times New Roman"/>
            <a:cs typeface="Times New Roma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90" workbookViewId="0">
      <selection sqref="A1:C1"/>
    </sheetView>
  </sheetViews>
  <sheetFormatPr baseColWidth="10" defaultColWidth="9.1640625" defaultRowHeight="16" x14ac:dyDescent="0.2"/>
  <cols>
    <col min="1" max="11" width="9.1640625" style="1"/>
    <col min="12" max="12" width="19" style="1" customWidth="1"/>
    <col min="13" max="16384" width="9.1640625" style="1"/>
  </cols>
  <sheetData>
    <row r="1" spans="1:12" x14ac:dyDescent="0.2">
      <c r="A1" s="80"/>
      <c r="B1" s="80"/>
      <c r="C1" s="80"/>
    </row>
    <row r="3" spans="1:12" s="3" customFormat="1" ht="18" x14ac:dyDescent="0.2">
      <c r="A3" s="4" t="s">
        <v>0</v>
      </c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s="3" customFormat="1" ht="18" x14ac:dyDescent="0.2">
      <c r="A4" s="4" t="s">
        <v>2</v>
      </c>
      <c r="B4" s="5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s="3" customFormat="1" ht="18" x14ac:dyDescent="0.2">
      <c r="A5" s="4"/>
      <c r="B5" s="5"/>
      <c r="C5" s="6"/>
      <c r="D5" s="6"/>
      <c r="E5" s="6"/>
      <c r="F5" s="6"/>
      <c r="G5" s="7"/>
      <c r="H5" s="7"/>
      <c r="I5" s="7"/>
      <c r="J5" s="7"/>
      <c r="K5" s="7"/>
    </row>
    <row r="6" spans="1:12" s="3" customFormat="1" ht="18" x14ac:dyDescent="0.2">
      <c r="A6" s="4"/>
      <c r="B6" s="5"/>
      <c r="C6" s="6"/>
      <c r="D6" s="6"/>
      <c r="E6" s="6"/>
      <c r="F6" s="6"/>
      <c r="G6" s="7"/>
      <c r="H6" s="7"/>
      <c r="I6" s="7"/>
      <c r="J6" s="7"/>
      <c r="K6" s="7"/>
    </row>
    <row r="7" spans="1:12" ht="18" x14ac:dyDescent="0.2">
      <c r="A7" s="8"/>
      <c r="B7" s="7"/>
      <c r="C7" s="7"/>
      <c r="D7" s="7"/>
      <c r="E7" s="7"/>
      <c r="F7" s="7"/>
      <c r="G7" s="7"/>
      <c r="H7" s="7"/>
    </row>
    <row r="8" spans="1:12" ht="18" x14ac:dyDescent="0.2">
      <c r="A8" s="8"/>
      <c r="B8" s="7"/>
      <c r="C8" s="7"/>
      <c r="D8" s="7"/>
      <c r="E8" s="7"/>
      <c r="F8" s="7"/>
      <c r="G8" s="7"/>
      <c r="H8" s="7"/>
    </row>
    <row r="10" spans="1:12" x14ac:dyDescent="0.2">
      <c r="B10" s="9" t="s">
        <v>4</v>
      </c>
    </row>
    <row r="11" spans="1:12" x14ac:dyDescent="0.2">
      <c r="B11" s="2" t="s">
        <v>5</v>
      </c>
    </row>
    <row r="12" spans="1:12" x14ac:dyDescent="0.2">
      <c r="B12" s="2" t="s">
        <v>6</v>
      </c>
    </row>
    <row r="13" spans="1:12" x14ac:dyDescent="0.2">
      <c r="B13" s="2"/>
    </row>
    <row r="14" spans="1:12" x14ac:dyDescent="0.2">
      <c r="B14" s="10"/>
      <c r="C14" s="10"/>
      <c r="D14" s="10"/>
    </row>
    <row r="15" spans="1:12" x14ac:dyDescent="0.2">
      <c r="B15" s="11"/>
    </row>
  </sheetData>
  <mergeCells count="1">
    <mergeCell ref="A1:C1"/>
  </mergeCells>
  <hyperlinks>
    <hyperlink ref="B3:K3" location="'1'!A1" display="Перевозки пассажиров по видам транспорта общего пользования по Российской Федерации (с 2000 по 2024 год)" xr:uid="{00000000-0004-0000-0000-000000000000}"/>
    <hyperlink ref="B3:L3" location="'1'!A1" display="Перевозки пассажиров по видам транспорта общего пользования по Российской Федерации (с 2000 по 2024 год)" xr:uid="{00000000-0004-0000-0000-000001000000}"/>
    <hyperlink ref="B4:L4" location="'2'!A1" display="Структура перевозок пассажиров по видам транспорта общего пользования по Российской Федерации (с 2000 по 2024 год)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60"/>
  <sheetViews>
    <sheetView zoomScale="80" workbookViewId="0">
      <pane xSplit="1" ySplit="7" topLeftCell="B8" activePane="bottomRight" state="frozen"/>
      <selection activeCell="Z7" sqref="Z7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30.6640625" style="12" customWidth="1"/>
    <col min="2" max="15" width="9.6640625" style="12" customWidth="1"/>
    <col min="16" max="18" width="9.6640625" customWidth="1"/>
    <col min="19" max="22" width="9.6640625" style="1" customWidth="1"/>
    <col min="23" max="26" width="9.6640625" customWidth="1"/>
  </cols>
  <sheetData>
    <row r="1" spans="1:33" s="13" customFormat="1" x14ac:dyDescent="0.2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S1" s="1"/>
      <c r="T1" s="1"/>
      <c r="U1" s="1"/>
      <c r="V1" s="1"/>
    </row>
    <row r="2" spans="1:33" ht="20" customHeight="1" x14ac:dyDescent="0.2">
      <c r="B2" s="81" t="s">
        <v>7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33" ht="15" customHeight="1" x14ac:dyDescent="0.2">
      <c r="B3" s="82" t="s">
        <v>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33" ht="1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33" s="16" customFormat="1" ht="20" customHeight="1" x14ac:dyDescent="0.2">
      <c r="A5" s="17"/>
      <c r="B5" s="18">
        <v>2000</v>
      </c>
      <c r="C5" s="18">
        <v>2001</v>
      </c>
      <c r="D5" s="18">
        <v>2002</v>
      </c>
      <c r="E5" s="18">
        <v>2003</v>
      </c>
      <c r="F5" s="18">
        <v>2004</v>
      </c>
      <c r="G5" s="18">
        <v>2005</v>
      </c>
      <c r="H5" s="18">
        <v>2006</v>
      </c>
      <c r="I5" s="18">
        <v>2007</v>
      </c>
      <c r="J5" s="18">
        <v>2008</v>
      </c>
      <c r="K5" s="18">
        <v>2009</v>
      </c>
      <c r="L5" s="18">
        <v>2010</v>
      </c>
      <c r="M5" s="18">
        <v>2011</v>
      </c>
      <c r="N5" s="18">
        <v>2012</v>
      </c>
      <c r="O5" s="18">
        <v>2013</v>
      </c>
      <c r="P5" s="18">
        <v>2014</v>
      </c>
      <c r="Q5" s="18">
        <v>2015</v>
      </c>
      <c r="R5" s="18">
        <v>2016</v>
      </c>
      <c r="S5" s="19">
        <v>2017</v>
      </c>
      <c r="T5" s="19">
        <v>2018</v>
      </c>
      <c r="U5" s="19">
        <v>2019</v>
      </c>
      <c r="V5" s="19">
        <v>2020</v>
      </c>
      <c r="W5" s="19">
        <v>2021</v>
      </c>
      <c r="X5" s="19" t="s">
        <v>9</v>
      </c>
      <c r="Y5" s="19" t="s">
        <v>10</v>
      </c>
      <c r="Z5" s="19" t="s">
        <v>11</v>
      </c>
    </row>
    <row r="6" spans="1:33" ht="15" customHeight="1" x14ac:dyDescent="0.2">
      <c r="A6" s="20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  <c r="R6" s="23"/>
      <c r="S6" s="24"/>
      <c r="T6" s="24"/>
      <c r="U6" s="24"/>
      <c r="V6" s="24"/>
      <c r="W6" s="24"/>
      <c r="X6" s="24"/>
      <c r="Y6" s="24"/>
      <c r="Z6" s="25"/>
    </row>
    <row r="7" spans="1:33" ht="20" customHeight="1" x14ac:dyDescent="0.2">
      <c r="A7" s="26" t="s">
        <v>12</v>
      </c>
      <c r="B7" s="27">
        <v>44838.5</v>
      </c>
      <c r="C7" s="28">
        <v>43987.8</v>
      </c>
      <c r="D7" s="28">
        <v>42611.7</v>
      </c>
      <c r="E7" s="28">
        <v>40088.800000000003</v>
      </c>
      <c r="F7" s="28">
        <v>39109.199999999997</v>
      </c>
      <c r="G7" s="28">
        <v>30122</v>
      </c>
      <c r="H7" s="28">
        <v>26640.3</v>
      </c>
      <c r="I7" s="28">
        <v>25307</v>
      </c>
      <c r="J7" s="28">
        <v>24950.2</v>
      </c>
      <c r="K7" s="28">
        <v>22844</v>
      </c>
      <c r="L7" s="28">
        <v>22034.5</v>
      </c>
      <c r="M7" s="28">
        <v>21886.6</v>
      </c>
      <c r="N7" s="28">
        <v>21340.799999999999</v>
      </c>
      <c r="O7" s="28">
        <v>19620.8</v>
      </c>
      <c r="P7" s="29">
        <v>19536.3</v>
      </c>
      <c r="Q7" s="29">
        <v>19095.2</v>
      </c>
      <c r="R7" s="29">
        <v>18645.099999999999</v>
      </c>
      <c r="S7" s="29">
        <v>18439</v>
      </c>
      <c r="T7" s="29">
        <v>18113.400000000001</v>
      </c>
      <c r="U7" s="29">
        <v>17826.099999999999</v>
      </c>
      <c r="V7" s="29">
        <v>12492.8</v>
      </c>
      <c r="W7" s="29">
        <v>13695.8</v>
      </c>
      <c r="X7" s="29">
        <v>14436.9</v>
      </c>
      <c r="Y7" s="29">
        <v>15177.5</v>
      </c>
      <c r="Z7" s="30">
        <v>15692.5</v>
      </c>
    </row>
    <row r="8" spans="1:33" ht="15" customHeight="1" x14ac:dyDescent="0.2">
      <c r="A8" s="31" t="s">
        <v>13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34"/>
      <c r="R8" s="34"/>
      <c r="S8" s="34"/>
      <c r="T8" s="34"/>
      <c r="U8" s="34"/>
      <c r="V8" s="34"/>
      <c r="W8" s="34"/>
      <c r="X8" s="34"/>
      <c r="Y8" s="34"/>
      <c r="Z8" s="35"/>
    </row>
    <row r="9" spans="1:33" ht="20" customHeight="1" x14ac:dyDescent="0.2">
      <c r="A9" s="36" t="s">
        <v>14</v>
      </c>
      <c r="B9" s="32">
        <v>1418.8</v>
      </c>
      <c r="C9" s="33">
        <v>1305.9000000000001</v>
      </c>
      <c r="D9" s="33">
        <v>1270.7</v>
      </c>
      <c r="E9" s="33">
        <v>1303.5</v>
      </c>
      <c r="F9" s="33">
        <v>1335.1</v>
      </c>
      <c r="G9" s="33">
        <v>1338.7</v>
      </c>
      <c r="H9" s="33">
        <v>1338.6</v>
      </c>
      <c r="I9" s="33">
        <v>1281.9000000000001</v>
      </c>
      <c r="J9" s="33">
        <v>1295.5999999999999</v>
      </c>
      <c r="K9" s="33">
        <v>1136.9000000000001</v>
      </c>
      <c r="L9" s="33">
        <v>946.5</v>
      </c>
      <c r="M9" s="33">
        <v>993.1</v>
      </c>
      <c r="N9" s="33">
        <v>1059</v>
      </c>
      <c r="O9" s="34">
        <v>1080</v>
      </c>
      <c r="P9" s="34">
        <v>1076.4000000000001</v>
      </c>
      <c r="Q9" s="34">
        <v>1024.5999999999999</v>
      </c>
      <c r="R9" s="34">
        <v>1040</v>
      </c>
      <c r="S9" s="34">
        <v>1121.3</v>
      </c>
      <c r="T9" s="34">
        <v>1160.4000000000001</v>
      </c>
      <c r="U9" s="34">
        <v>1201.5</v>
      </c>
      <c r="V9" s="34">
        <v>875.8</v>
      </c>
      <c r="W9" s="34">
        <v>1059.3</v>
      </c>
      <c r="X9" s="34">
        <v>1142.5</v>
      </c>
      <c r="Y9" s="34">
        <v>1208.3</v>
      </c>
      <c r="Z9" s="35">
        <v>1295</v>
      </c>
      <c r="AA9" s="37"/>
      <c r="AE9" s="37"/>
      <c r="AF9" s="37"/>
      <c r="AG9" s="37"/>
    </row>
    <row r="10" spans="1:33" ht="20" customHeight="1" x14ac:dyDescent="0.2">
      <c r="A10" s="38" t="s">
        <v>15</v>
      </c>
      <c r="B10" s="32">
        <v>23001.1</v>
      </c>
      <c r="C10" s="33">
        <v>22462.2</v>
      </c>
      <c r="D10" s="33">
        <v>21920.6</v>
      </c>
      <c r="E10" s="33">
        <v>20912.3</v>
      </c>
      <c r="F10" s="33">
        <v>21018.3</v>
      </c>
      <c r="G10" s="33">
        <v>16374</v>
      </c>
      <c r="H10" s="33">
        <v>14733.6</v>
      </c>
      <c r="I10" s="33">
        <v>14794.9</v>
      </c>
      <c r="J10" s="33">
        <v>14717.8</v>
      </c>
      <c r="K10" s="33">
        <v>13704.4</v>
      </c>
      <c r="L10" s="33">
        <v>13433.7</v>
      </c>
      <c r="M10" s="33">
        <v>13304.9</v>
      </c>
      <c r="N10" s="33">
        <v>12766.2</v>
      </c>
      <c r="O10" s="34">
        <v>11586.8</v>
      </c>
      <c r="P10" s="34">
        <v>11554.3</v>
      </c>
      <c r="Q10" s="34">
        <v>11523</v>
      </c>
      <c r="R10" s="34">
        <v>11295.8</v>
      </c>
      <c r="S10" s="34">
        <v>11184.9</v>
      </c>
      <c r="T10" s="34">
        <v>10912.1</v>
      </c>
      <c r="U10" s="34">
        <v>10637.2</v>
      </c>
      <c r="V10" s="34">
        <v>7695.4</v>
      </c>
      <c r="W10" s="34">
        <v>8031.4</v>
      </c>
      <c r="X10" s="34">
        <v>8457.9</v>
      </c>
      <c r="Y10" s="34">
        <v>8975.6</v>
      </c>
      <c r="Z10" s="35">
        <v>9194.7000000000007</v>
      </c>
      <c r="AA10" s="37"/>
      <c r="AE10" s="37"/>
      <c r="AF10" s="37"/>
      <c r="AG10" s="37"/>
    </row>
    <row r="11" spans="1:33" ht="20" customHeight="1" x14ac:dyDescent="0.2">
      <c r="A11" s="39" t="s">
        <v>16</v>
      </c>
      <c r="B11" s="32">
        <v>7421.2</v>
      </c>
      <c r="C11" s="33">
        <v>7353.5</v>
      </c>
      <c r="D11" s="33">
        <v>6982.3</v>
      </c>
      <c r="E11" s="33">
        <v>6321</v>
      </c>
      <c r="F11" s="33">
        <v>5803.8</v>
      </c>
      <c r="G11" s="33">
        <v>4123.3999999999996</v>
      </c>
      <c r="H11" s="33">
        <v>3267.1</v>
      </c>
      <c r="I11" s="33">
        <v>2660.3</v>
      </c>
      <c r="J11" s="33">
        <v>2537.1999999999998</v>
      </c>
      <c r="K11" s="33">
        <v>2216.6</v>
      </c>
      <c r="L11" s="33">
        <v>2078.6999999999998</v>
      </c>
      <c r="M11" s="33">
        <v>2003.6</v>
      </c>
      <c r="N11" s="33">
        <v>1928.3</v>
      </c>
      <c r="O11" s="34">
        <v>1629</v>
      </c>
      <c r="P11" s="34">
        <v>1551.4</v>
      </c>
      <c r="Q11" s="34">
        <v>1477.9</v>
      </c>
      <c r="R11" s="34">
        <v>1396.6</v>
      </c>
      <c r="S11" s="34">
        <v>1326.9</v>
      </c>
      <c r="T11" s="34">
        <v>1259.4000000000001</v>
      </c>
      <c r="U11" s="34">
        <v>1240.3</v>
      </c>
      <c r="V11" s="34">
        <v>889.4</v>
      </c>
      <c r="W11" s="34">
        <v>992.1</v>
      </c>
      <c r="X11" s="34">
        <v>998.8</v>
      </c>
      <c r="Y11" s="34">
        <v>993.5</v>
      </c>
      <c r="Z11" s="35">
        <v>1032</v>
      </c>
      <c r="AA11" s="37"/>
      <c r="AE11" s="37"/>
      <c r="AF11" s="37"/>
      <c r="AG11" s="37"/>
    </row>
    <row r="12" spans="1:33" ht="20" customHeight="1" x14ac:dyDescent="0.2">
      <c r="A12" s="36" t="s">
        <v>17</v>
      </c>
      <c r="B12" s="32">
        <v>8759.2999999999993</v>
      </c>
      <c r="C12" s="33">
        <v>8604.2999999999993</v>
      </c>
      <c r="D12" s="33">
        <v>8181.1</v>
      </c>
      <c r="E12" s="33">
        <v>7290.8</v>
      </c>
      <c r="F12" s="33">
        <v>6679.7</v>
      </c>
      <c r="G12" s="33">
        <v>4653.1000000000004</v>
      </c>
      <c r="H12" s="33">
        <v>3774.6</v>
      </c>
      <c r="I12" s="33">
        <v>2971.9</v>
      </c>
      <c r="J12" s="33">
        <v>2733</v>
      </c>
      <c r="K12" s="33">
        <v>2414</v>
      </c>
      <c r="L12" s="33">
        <v>2205.6999999999998</v>
      </c>
      <c r="M12" s="33">
        <v>2152.1999999999998</v>
      </c>
      <c r="N12" s="33">
        <v>2051.1999999999998</v>
      </c>
      <c r="O12" s="34">
        <v>1735.1</v>
      </c>
      <c r="P12" s="34">
        <v>1803.1</v>
      </c>
      <c r="Q12" s="34">
        <v>1616.5</v>
      </c>
      <c r="R12" s="34">
        <v>1483.1</v>
      </c>
      <c r="S12" s="34">
        <v>1375.7</v>
      </c>
      <c r="T12" s="34">
        <v>1262.8</v>
      </c>
      <c r="U12" s="34">
        <v>1148.0999999999999</v>
      </c>
      <c r="V12" s="34">
        <v>759.6</v>
      </c>
      <c r="W12" s="34">
        <v>807.9</v>
      </c>
      <c r="X12" s="34">
        <v>830.8</v>
      </c>
      <c r="Y12" s="34">
        <v>856.9</v>
      </c>
      <c r="Z12" s="35">
        <v>896.4</v>
      </c>
      <c r="AA12" s="37"/>
      <c r="AE12" s="37"/>
      <c r="AF12" s="37"/>
      <c r="AG12" s="37"/>
    </row>
    <row r="13" spans="1:33" ht="20" customHeight="1" x14ac:dyDescent="0.2">
      <c r="A13" s="36" t="s">
        <v>18</v>
      </c>
      <c r="B13" s="32">
        <v>4186.3999999999996</v>
      </c>
      <c r="C13" s="33">
        <v>4204.6000000000004</v>
      </c>
      <c r="D13" s="33">
        <v>4199.5</v>
      </c>
      <c r="E13" s="33">
        <v>4204.7</v>
      </c>
      <c r="F13" s="33">
        <v>4210.6000000000004</v>
      </c>
      <c r="G13" s="33">
        <v>3574.3</v>
      </c>
      <c r="H13" s="33">
        <v>3465.7</v>
      </c>
      <c r="I13" s="33">
        <v>3528.4</v>
      </c>
      <c r="J13" s="33">
        <v>3593.7</v>
      </c>
      <c r="K13" s="33">
        <v>3306.6</v>
      </c>
      <c r="L13" s="33">
        <v>3293.7</v>
      </c>
      <c r="M13" s="33">
        <v>3351.3</v>
      </c>
      <c r="N13" s="33">
        <v>3445.6</v>
      </c>
      <c r="O13" s="34">
        <v>3490.7</v>
      </c>
      <c r="P13" s="34">
        <v>3436.6</v>
      </c>
      <c r="Q13" s="34">
        <v>3336.5</v>
      </c>
      <c r="R13" s="34">
        <v>3311.7</v>
      </c>
      <c r="S13" s="34">
        <v>3298</v>
      </c>
      <c r="T13" s="34">
        <v>3380.6</v>
      </c>
      <c r="U13" s="34">
        <v>3450.9</v>
      </c>
      <c r="V13" s="34">
        <v>2189.1</v>
      </c>
      <c r="W13" s="34">
        <v>2680</v>
      </c>
      <c r="X13" s="34">
        <v>2897.9</v>
      </c>
      <c r="Y13" s="34">
        <v>3023.1</v>
      </c>
      <c r="Z13" s="35">
        <v>3147.7</v>
      </c>
      <c r="AA13" s="37"/>
      <c r="AE13" s="37"/>
      <c r="AF13" s="37"/>
      <c r="AG13" s="37"/>
    </row>
    <row r="14" spans="1:33" ht="20" customHeight="1" x14ac:dyDescent="0.2">
      <c r="A14" s="39" t="s">
        <v>19</v>
      </c>
      <c r="B14" s="32">
        <v>1.1000000000000001</v>
      </c>
      <c r="C14" s="33">
        <v>0.8</v>
      </c>
      <c r="D14" s="33">
        <v>0.7</v>
      </c>
      <c r="E14" s="33">
        <v>1.2</v>
      </c>
      <c r="F14" s="33">
        <v>1.1000000000000001</v>
      </c>
      <c r="G14" s="33">
        <v>1.3</v>
      </c>
      <c r="H14" s="33">
        <v>1.4</v>
      </c>
      <c r="I14" s="33">
        <v>1.4</v>
      </c>
      <c r="J14" s="33">
        <v>1.4</v>
      </c>
      <c r="K14" s="33">
        <v>1.5</v>
      </c>
      <c r="L14" s="33">
        <v>1.5</v>
      </c>
      <c r="M14" s="33">
        <v>1.3</v>
      </c>
      <c r="N14" s="33">
        <v>1.1000000000000001</v>
      </c>
      <c r="O14" s="34">
        <v>0.5</v>
      </c>
      <c r="P14" s="34">
        <v>6.9</v>
      </c>
      <c r="Q14" s="34">
        <v>9.6</v>
      </c>
      <c r="R14" s="34">
        <v>13</v>
      </c>
      <c r="S14" s="34">
        <v>11.7</v>
      </c>
      <c r="T14" s="34">
        <v>7.5</v>
      </c>
      <c r="U14" s="34">
        <v>6</v>
      </c>
      <c r="V14" s="34">
        <v>4.5999999999999996</v>
      </c>
      <c r="W14" s="34">
        <v>4.5</v>
      </c>
      <c r="X14" s="34">
        <v>3.4</v>
      </c>
      <c r="Y14" s="34">
        <v>2.7</v>
      </c>
      <c r="Z14" s="35">
        <v>1.6</v>
      </c>
      <c r="AA14" s="37"/>
      <c r="AE14" s="37"/>
      <c r="AF14" s="37"/>
      <c r="AG14" s="37"/>
    </row>
    <row r="15" spans="1:33" ht="20" customHeight="1" x14ac:dyDescent="0.2">
      <c r="A15" s="36" t="s">
        <v>20</v>
      </c>
      <c r="B15" s="32">
        <v>27.7</v>
      </c>
      <c r="C15" s="33">
        <v>30</v>
      </c>
      <c r="D15" s="33">
        <v>28.8</v>
      </c>
      <c r="E15" s="33">
        <v>24.4</v>
      </c>
      <c r="F15" s="33">
        <v>25.5</v>
      </c>
      <c r="G15" s="33">
        <v>20.7</v>
      </c>
      <c r="H15" s="33">
        <v>19.600000000000001</v>
      </c>
      <c r="I15" s="33">
        <v>21.5</v>
      </c>
      <c r="J15" s="33">
        <v>19.899999999999999</v>
      </c>
      <c r="K15" s="33">
        <v>17.2</v>
      </c>
      <c r="L15" s="33">
        <v>16.100000000000001</v>
      </c>
      <c r="M15" s="33">
        <v>14.2</v>
      </c>
      <c r="N15" s="33">
        <v>13.7</v>
      </c>
      <c r="O15" s="34">
        <v>13</v>
      </c>
      <c r="P15" s="34">
        <v>12.6</v>
      </c>
      <c r="Q15" s="34">
        <v>13.6</v>
      </c>
      <c r="R15" s="34">
        <v>13.5</v>
      </c>
      <c r="S15" s="34">
        <v>12.7</v>
      </c>
      <c r="T15" s="34">
        <v>12.3</v>
      </c>
      <c r="U15" s="34">
        <v>11.1</v>
      </c>
      <c r="V15" s="34">
        <v>7.7</v>
      </c>
      <c r="W15" s="34">
        <v>8.6</v>
      </c>
      <c r="X15" s="34">
        <v>9.1</v>
      </c>
      <c r="Y15" s="34">
        <v>10.6</v>
      </c>
      <c r="Z15" s="35">
        <v>12.1</v>
      </c>
      <c r="AA15" s="37"/>
      <c r="AE15" s="37"/>
      <c r="AF15" s="37"/>
      <c r="AG15" s="37"/>
    </row>
    <row r="16" spans="1:33" ht="20" customHeight="1" x14ac:dyDescent="0.2">
      <c r="A16" s="40" t="s">
        <v>21</v>
      </c>
      <c r="B16" s="41">
        <v>23</v>
      </c>
      <c r="C16" s="42">
        <v>26.4</v>
      </c>
      <c r="D16" s="42">
        <v>28</v>
      </c>
      <c r="E16" s="42">
        <v>30.9</v>
      </c>
      <c r="F16" s="42">
        <v>35.200000000000003</v>
      </c>
      <c r="G16" s="42">
        <v>36.5</v>
      </c>
      <c r="H16" s="42">
        <v>39.5</v>
      </c>
      <c r="I16" s="42">
        <v>46.8</v>
      </c>
      <c r="J16" s="42">
        <v>51.5</v>
      </c>
      <c r="K16" s="42">
        <v>46.6</v>
      </c>
      <c r="L16" s="42">
        <v>58.6</v>
      </c>
      <c r="M16" s="42">
        <v>66</v>
      </c>
      <c r="N16" s="42">
        <v>76.099999999999994</v>
      </c>
      <c r="O16" s="43">
        <v>86.3</v>
      </c>
      <c r="P16" s="43">
        <v>95</v>
      </c>
      <c r="Q16" s="43">
        <v>93.6</v>
      </c>
      <c r="R16" s="43">
        <v>91.3</v>
      </c>
      <c r="S16" s="43">
        <v>107.8</v>
      </c>
      <c r="T16" s="43">
        <v>118.4</v>
      </c>
      <c r="U16" s="43">
        <v>130.9</v>
      </c>
      <c r="V16" s="43">
        <v>71.099999999999994</v>
      </c>
      <c r="W16" s="43">
        <v>111.9</v>
      </c>
      <c r="X16" s="43">
        <v>96.4</v>
      </c>
      <c r="Y16" s="43">
        <v>106.7</v>
      </c>
      <c r="Z16" s="44">
        <v>113.1</v>
      </c>
      <c r="AA16" s="37"/>
      <c r="AE16" s="37"/>
      <c r="AF16" s="37"/>
      <c r="AG16" s="37"/>
    </row>
    <row r="17" spans="1:29" ht="15.75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29" ht="15.75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29" ht="15.75" customHeight="1" x14ac:dyDescent="0.2">
      <c r="A19" s="83" t="s">
        <v>22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11"/>
      <c r="AA19" s="45"/>
      <c r="AB19" s="45"/>
      <c r="AC19" s="45"/>
    </row>
    <row r="20" spans="1:29" ht="18.75" customHeight="1" x14ac:dyDescent="0.2">
      <c r="A20" s="84" t="s">
        <v>23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AA20" s="45"/>
      <c r="AB20" s="45"/>
      <c r="AC20" s="45"/>
    </row>
    <row r="21" spans="1:29" ht="18" x14ac:dyDescent="0.2">
      <c r="A21" s="83" t="s">
        <v>24</v>
      </c>
      <c r="B21" s="83"/>
      <c r="C21" s="83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X21" s="37"/>
      <c r="AA21" s="45"/>
      <c r="AB21" s="45"/>
      <c r="AC21" s="45"/>
    </row>
    <row r="22" spans="1:29" x14ac:dyDescent="0.2">
      <c r="A22" s="85" t="s">
        <v>25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AA22" s="45"/>
      <c r="AB22" s="45"/>
      <c r="AC22" s="45"/>
    </row>
    <row r="23" spans="1:29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AA23" s="45"/>
      <c r="AB23" s="45"/>
      <c r="AC23" s="45"/>
    </row>
    <row r="24" spans="1:29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AA24" s="45"/>
      <c r="AB24" s="45"/>
      <c r="AC24" s="45"/>
    </row>
    <row r="25" spans="1:29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AA25" s="45"/>
      <c r="AB25" s="45"/>
      <c r="AC25" s="45"/>
    </row>
    <row r="26" spans="1:29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AA26" s="45"/>
      <c r="AB26" s="45"/>
      <c r="AC26" s="45"/>
    </row>
    <row r="27" spans="1:29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AA27" s="45"/>
      <c r="AB27" s="45"/>
      <c r="AC27" s="45"/>
    </row>
    <row r="28" spans="1:29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29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29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29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29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</sheetData>
  <mergeCells count="6">
    <mergeCell ref="A22:O22"/>
    <mergeCell ref="B2:Z2"/>
    <mergeCell ref="B3:Z3"/>
    <mergeCell ref="A19:S19"/>
    <mergeCell ref="A20:T20"/>
    <mergeCell ref="A21:C21"/>
  </mergeCells>
  <pageMargins left="0.7" right="0.7" top="0.75" bottom="0.75" header="0.3" footer="0.3"/>
  <pageSetup paperSize="9" scale="71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6"/>
  <sheetViews>
    <sheetView zoomScale="90" workbookViewId="0">
      <pane xSplit="1" ySplit="6" topLeftCell="B7" activePane="bottomRight" state="frozen"/>
      <selection activeCell="Z7" sqref="Z7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.6640625" style="12" customWidth="1"/>
    <col min="2" max="22" width="9.6640625" style="12" customWidth="1"/>
    <col min="23" max="26" width="9.6640625" customWidth="1"/>
  </cols>
  <sheetData>
    <row r="1" spans="1:27" s="13" customFormat="1" ht="14" x14ac:dyDescent="0.15">
      <c r="A1" s="14"/>
    </row>
    <row r="2" spans="1:27" ht="20" customHeight="1" x14ac:dyDescent="0.2">
      <c r="A2" s="46"/>
      <c r="B2" s="86" t="s">
        <v>26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7" ht="15" customHeight="1" x14ac:dyDescent="0.2">
      <c r="A3" s="46"/>
      <c r="B3" s="87" t="s">
        <v>27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7" ht="15" customHeight="1" x14ac:dyDescent="0.2"/>
    <row r="5" spans="1:27" s="16" customFormat="1" ht="20" customHeight="1" x14ac:dyDescent="0.2">
      <c r="A5" s="47"/>
      <c r="B5" s="48">
        <v>2000</v>
      </c>
      <c r="C5" s="48">
        <v>2001</v>
      </c>
      <c r="D5" s="48">
        <v>2002</v>
      </c>
      <c r="E5" s="49">
        <v>2003</v>
      </c>
      <c r="F5" s="49">
        <v>2004</v>
      </c>
      <c r="G5" s="48">
        <v>2005</v>
      </c>
      <c r="H5" s="48">
        <v>2006</v>
      </c>
      <c r="I5" s="48">
        <v>2007</v>
      </c>
      <c r="J5" s="48">
        <v>2008</v>
      </c>
      <c r="K5" s="48">
        <v>2009</v>
      </c>
      <c r="L5" s="49">
        <v>2010</v>
      </c>
      <c r="M5" s="48">
        <v>2011</v>
      </c>
      <c r="N5" s="50">
        <v>2012</v>
      </c>
      <c r="O5" s="48">
        <v>2013</v>
      </c>
      <c r="P5" s="50">
        <v>2014</v>
      </c>
      <c r="Q5" s="48">
        <v>2015</v>
      </c>
      <c r="R5" s="50">
        <v>2016</v>
      </c>
      <c r="S5" s="48">
        <v>2017</v>
      </c>
      <c r="T5" s="51">
        <v>2018</v>
      </c>
      <c r="U5" s="48">
        <v>2019</v>
      </c>
      <c r="V5" s="48">
        <v>2020</v>
      </c>
      <c r="W5" s="48">
        <v>2021</v>
      </c>
      <c r="X5" s="48">
        <v>2022</v>
      </c>
      <c r="Y5" s="48">
        <v>2023</v>
      </c>
      <c r="Z5" s="48">
        <v>2024</v>
      </c>
    </row>
    <row r="6" spans="1:27" ht="15" customHeight="1" x14ac:dyDescent="0.2">
      <c r="A6" s="52"/>
      <c r="B6" s="53"/>
      <c r="C6" s="54"/>
      <c r="D6" s="53"/>
      <c r="E6" s="54"/>
      <c r="F6" s="53"/>
      <c r="G6" s="54"/>
      <c r="H6" s="53"/>
      <c r="I6" s="54"/>
      <c r="J6" s="53"/>
      <c r="K6" s="54"/>
      <c r="L6" s="53"/>
      <c r="M6" s="54"/>
      <c r="N6" s="53"/>
      <c r="O6" s="54"/>
      <c r="P6" s="53"/>
      <c r="Q6" s="54"/>
      <c r="R6" s="53"/>
      <c r="S6" s="54"/>
      <c r="T6" s="55"/>
      <c r="U6" s="56"/>
      <c r="V6" s="57"/>
      <c r="W6" s="57"/>
      <c r="X6" s="57"/>
      <c r="Y6" s="57"/>
      <c r="Z6" s="57"/>
    </row>
    <row r="7" spans="1:27" ht="20" customHeight="1" x14ac:dyDescent="0.2">
      <c r="A7" s="58" t="s">
        <v>12</v>
      </c>
      <c r="B7" s="59">
        <f t="shared" ref="B7:V7" si="0">B9+B11+B13+B12+B10</f>
        <v>100</v>
      </c>
      <c r="C7" s="60">
        <f t="shared" si="0"/>
        <v>99.999999999999986</v>
      </c>
      <c r="D7" s="59">
        <f t="shared" si="0"/>
        <v>99.999999999999986</v>
      </c>
      <c r="E7" s="60">
        <f t="shared" si="0"/>
        <v>99.999999999999986</v>
      </c>
      <c r="F7" s="59">
        <f t="shared" si="0"/>
        <v>100</v>
      </c>
      <c r="G7" s="60">
        <f t="shared" si="0"/>
        <v>99.999999999999986</v>
      </c>
      <c r="H7" s="59">
        <f t="shared" si="0"/>
        <v>99.999999999999986</v>
      </c>
      <c r="I7" s="60">
        <f t="shared" si="0"/>
        <v>100</v>
      </c>
      <c r="J7" s="59">
        <f t="shared" si="0"/>
        <v>100</v>
      </c>
      <c r="K7" s="60">
        <f t="shared" si="0"/>
        <v>100</v>
      </c>
      <c r="L7" s="59">
        <f t="shared" si="0"/>
        <v>99.999999999999986</v>
      </c>
      <c r="M7" s="60">
        <f t="shared" si="0"/>
        <v>99.999999999999986</v>
      </c>
      <c r="N7" s="59">
        <f t="shared" si="0"/>
        <v>100</v>
      </c>
      <c r="O7" s="60">
        <f t="shared" si="0"/>
        <v>100</v>
      </c>
      <c r="P7" s="59">
        <f t="shared" si="0"/>
        <v>99.999999999999986</v>
      </c>
      <c r="Q7" s="60">
        <f t="shared" si="0"/>
        <v>99.95</v>
      </c>
      <c r="R7" s="59">
        <f t="shared" si="0"/>
        <v>99.970000000000013</v>
      </c>
      <c r="S7" s="60">
        <f t="shared" si="0"/>
        <v>99.999999999999986</v>
      </c>
      <c r="T7" s="59">
        <f t="shared" si="0"/>
        <v>100</v>
      </c>
      <c r="U7" s="60">
        <f t="shared" si="0"/>
        <v>100</v>
      </c>
      <c r="V7" s="61">
        <f t="shared" si="0"/>
        <v>99.999999999999986</v>
      </c>
      <c r="W7" s="61">
        <f>W9+W11+W13+W12+W10</f>
        <v>100</v>
      </c>
      <c r="X7" s="61">
        <f>X9+X11+X13+X12+X10</f>
        <v>100</v>
      </c>
      <c r="Y7" s="61">
        <f>Y9+Y11+Y13+Y12+Y10</f>
        <v>99.999999999999986</v>
      </c>
      <c r="Z7" s="61">
        <f>Z9+Z11+Z13+Z12+Z10</f>
        <v>100</v>
      </c>
    </row>
    <row r="8" spans="1:27" ht="15" customHeight="1" x14ac:dyDescent="0.2">
      <c r="A8" s="62" t="s">
        <v>13</v>
      </c>
      <c r="B8" s="63"/>
      <c r="C8" s="64"/>
      <c r="D8" s="63"/>
      <c r="E8" s="64"/>
      <c r="F8" s="63"/>
      <c r="G8" s="64"/>
      <c r="H8" s="63"/>
      <c r="I8" s="64"/>
      <c r="J8" s="63"/>
      <c r="K8" s="64"/>
      <c r="L8" s="63"/>
      <c r="M8" s="64"/>
      <c r="N8" s="63"/>
      <c r="O8" s="64"/>
      <c r="P8" s="63"/>
      <c r="Q8" s="64"/>
      <c r="R8" s="63"/>
      <c r="S8" s="64"/>
      <c r="T8" s="63"/>
      <c r="U8" s="64"/>
      <c r="V8" s="65"/>
      <c r="W8" s="65"/>
      <c r="X8" s="65"/>
      <c r="Y8" s="65"/>
      <c r="Z8" s="65"/>
    </row>
    <row r="9" spans="1:27" ht="20" customHeight="1" x14ac:dyDescent="0.2">
      <c r="A9" s="66" t="s">
        <v>14</v>
      </c>
      <c r="B9" s="67">
        <v>3.2</v>
      </c>
      <c r="C9" s="68">
        <v>3</v>
      </c>
      <c r="D9" s="67">
        <v>3</v>
      </c>
      <c r="E9" s="68">
        <v>3.3</v>
      </c>
      <c r="F9" s="67">
        <v>3.4</v>
      </c>
      <c r="G9" s="68">
        <v>4.4000000000000004</v>
      </c>
      <c r="H9" s="67">
        <v>5</v>
      </c>
      <c r="I9" s="68">
        <v>5.0999999999999996</v>
      </c>
      <c r="J9" s="67">
        <v>5.2</v>
      </c>
      <c r="K9" s="68">
        <v>5</v>
      </c>
      <c r="L9" s="67">
        <v>4.3</v>
      </c>
      <c r="M9" s="68">
        <v>4.5</v>
      </c>
      <c r="N9" s="67">
        <v>5</v>
      </c>
      <c r="O9" s="68">
        <v>5.5</v>
      </c>
      <c r="P9" s="67">
        <v>5.5</v>
      </c>
      <c r="Q9" s="68">
        <v>5.4</v>
      </c>
      <c r="R9" s="67">
        <v>5.6</v>
      </c>
      <c r="S9" s="68">
        <v>6.1</v>
      </c>
      <c r="T9" s="67">
        <v>6.4</v>
      </c>
      <c r="U9" s="68">
        <v>6.7</v>
      </c>
      <c r="V9" s="69">
        <v>7</v>
      </c>
      <c r="W9" s="69">
        <v>7.7</v>
      </c>
      <c r="X9" s="69">
        <v>7.9</v>
      </c>
      <c r="Y9" s="69">
        <v>8</v>
      </c>
      <c r="Z9" s="69">
        <v>8.3000000000000007</v>
      </c>
      <c r="AA9" s="37"/>
    </row>
    <row r="10" spans="1:27" ht="20" customHeight="1" x14ac:dyDescent="0.2">
      <c r="A10" s="66" t="s">
        <v>28</v>
      </c>
      <c r="B10" s="67">
        <v>0.1</v>
      </c>
      <c r="C10" s="68">
        <v>0.1</v>
      </c>
      <c r="D10" s="67">
        <v>0.1</v>
      </c>
      <c r="E10" s="68">
        <v>0.1</v>
      </c>
      <c r="F10" s="67">
        <v>0.1</v>
      </c>
      <c r="G10" s="68">
        <v>0.1</v>
      </c>
      <c r="H10" s="67">
        <v>0.1</v>
      </c>
      <c r="I10" s="68">
        <v>0.2</v>
      </c>
      <c r="J10" s="67">
        <v>0.2</v>
      </c>
      <c r="K10" s="68">
        <v>0.2</v>
      </c>
      <c r="L10" s="67">
        <v>0.3</v>
      </c>
      <c r="M10" s="68">
        <v>0.3</v>
      </c>
      <c r="N10" s="67">
        <v>0.4</v>
      </c>
      <c r="O10" s="68">
        <v>0.4</v>
      </c>
      <c r="P10" s="67">
        <v>0.5</v>
      </c>
      <c r="Q10" s="68">
        <v>0.5</v>
      </c>
      <c r="R10" s="67">
        <v>0.5</v>
      </c>
      <c r="S10" s="68">
        <v>0.6</v>
      </c>
      <c r="T10" s="67">
        <v>0.7</v>
      </c>
      <c r="U10" s="64">
        <v>0.7</v>
      </c>
      <c r="V10" s="65">
        <v>0.6</v>
      </c>
      <c r="W10" s="65">
        <v>0.8</v>
      </c>
      <c r="X10" s="65">
        <v>0.7</v>
      </c>
      <c r="Y10" s="65">
        <v>0.7</v>
      </c>
      <c r="Z10" s="65">
        <v>0.7</v>
      </c>
      <c r="AA10" s="37"/>
    </row>
    <row r="11" spans="1:27" ht="20" customHeight="1" x14ac:dyDescent="0.2">
      <c r="A11" s="66" t="s">
        <v>29</v>
      </c>
      <c r="B11" s="67">
        <v>51.2</v>
      </c>
      <c r="C11" s="68">
        <v>51.1</v>
      </c>
      <c r="D11" s="67">
        <v>51.4</v>
      </c>
      <c r="E11" s="68">
        <v>52.1</v>
      </c>
      <c r="F11" s="67">
        <v>53.7</v>
      </c>
      <c r="G11" s="68">
        <v>54.4</v>
      </c>
      <c r="H11" s="67">
        <v>55.4</v>
      </c>
      <c r="I11" s="68">
        <v>58.4</v>
      </c>
      <c r="J11" s="67">
        <v>59</v>
      </c>
      <c r="K11" s="68">
        <v>60</v>
      </c>
      <c r="L11" s="67">
        <v>60.9</v>
      </c>
      <c r="M11" s="68">
        <v>60.8</v>
      </c>
      <c r="N11" s="67">
        <v>59.8</v>
      </c>
      <c r="O11" s="68">
        <v>59.1</v>
      </c>
      <c r="P11" s="67">
        <v>59.1</v>
      </c>
      <c r="Q11" s="68">
        <v>60.3</v>
      </c>
      <c r="R11" s="67">
        <v>60.6</v>
      </c>
      <c r="S11" s="68">
        <v>60.8</v>
      </c>
      <c r="T11" s="67">
        <v>60.3</v>
      </c>
      <c r="U11" s="64">
        <v>59.7</v>
      </c>
      <c r="V11" s="65">
        <v>61.6</v>
      </c>
      <c r="W11" s="65">
        <v>58.7</v>
      </c>
      <c r="X11" s="65">
        <v>58.6</v>
      </c>
      <c r="Y11" s="65">
        <v>59.1</v>
      </c>
      <c r="Z11" s="65">
        <v>58.6</v>
      </c>
      <c r="AA11" s="37"/>
    </row>
    <row r="12" spans="1:27" ht="20" customHeight="1" x14ac:dyDescent="0.2">
      <c r="A12" s="66" t="s">
        <v>30</v>
      </c>
      <c r="B12" s="67">
        <v>0.1</v>
      </c>
      <c r="C12" s="68">
        <v>0.1</v>
      </c>
      <c r="D12" s="67">
        <v>0.1</v>
      </c>
      <c r="E12" s="68">
        <v>0.1</v>
      </c>
      <c r="F12" s="67">
        <v>0.1</v>
      </c>
      <c r="G12" s="68">
        <v>0.1</v>
      </c>
      <c r="H12" s="67">
        <v>0.1</v>
      </c>
      <c r="I12" s="68">
        <v>0.1</v>
      </c>
      <c r="J12" s="67">
        <v>0.1</v>
      </c>
      <c r="K12" s="68">
        <v>0.1</v>
      </c>
      <c r="L12" s="67">
        <v>0.1</v>
      </c>
      <c r="M12" s="68">
        <v>0.1</v>
      </c>
      <c r="N12" s="67">
        <v>0.1</v>
      </c>
      <c r="O12" s="68">
        <v>0.1</v>
      </c>
      <c r="P12" s="67">
        <v>0.1</v>
      </c>
      <c r="Q12" s="68">
        <v>0.15000000000000002</v>
      </c>
      <c r="R12" s="67">
        <v>0.17</v>
      </c>
      <c r="S12" s="68">
        <v>0.1</v>
      </c>
      <c r="T12" s="67">
        <v>0.1</v>
      </c>
      <c r="U12" s="64">
        <v>0.1</v>
      </c>
      <c r="V12" s="65">
        <v>0.1</v>
      </c>
      <c r="W12" s="65">
        <v>0.1</v>
      </c>
      <c r="X12" s="65">
        <v>0.1</v>
      </c>
      <c r="Y12" s="65">
        <v>0.1</v>
      </c>
      <c r="Z12" s="65">
        <v>0.1</v>
      </c>
      <c r="AA12" s="37"/>
    </row>
    <row r="13" spans="1:27" ht="20" customHeight="1" x14ac:dyDescent="0.2">
      <c r="A13" s="70" t="s">
        <v>31</v>
      </c>
      <c r="B13" s="71">
        <v>45.4</v>
      </c>
      <c r="C13" s="72">
        <v>45.699999999999996</v>
      </c>
      <c r="D13" s="71">
        <v>45.4</v>
      </c>
      <c r="E13" s="72">
        <v>44.4</v>
      </c>
      <c r="F13" s="71">
        <v>42.7</v>
      </c>
      <c r="G13" s="72">
        <v>41</v>
      </c>
      <c r="H13" s="71">
        <v>39.4</v>
      </c>
      <c r="I13" s="72">
        <v>36.200000000000003</v>
      </c>
      <c r="J13" s="71">
        <v>35.5</v>
      </c>
      <c r="K13" s="72">
        <v>34.700000000000003</v>
      </c>
      <c r="L13" s="71">
        <v>34.4</v>
      </c>
      <c r="M13" s="72">
        <v>34.299999999999997</v>
      </c>
      <c r="N13" s="71">
        <v>34.699999999999996</v>
      </c>
      <c r="O13" s="72">
        <v>34.9</v>
      </c>
      <c r="P13" s="71">
        <v>34.799999999999997</v>
      </c>
      <c r="Q13" s="72">
        <v>33.599999999999994</v>
      </c>
      <c r="R13" s="71">
        <v>33.1</v>
      </c>
      <c r="S13" s="72">
        <v>32.400000000000006</v>
      </c>
      <c r="T13" s="71">
        <v>32.5</v>
      </c>
      <c r="U13" s="73">
        <v>32.799999999999997</v>
      </c>
      <c r="V13" s="74">
        <v>30.7</v>
      </c>
      <c r="W13" s="74">
        <v>32.700000000000003</v>
      </c>
      <c r="X13" s="74">
        <v>32.700000000000003</v>
      </c>
      <c r="Y13" s="75">
        <v>32.1</v>
      </c>
      <c r="Z13" s="75">
        <v>32.299999999999997</v>
      </c>
      <c r="AA13" s="37"/>
    </row>
    <row r="15" spans="1:27" ht="18" x14ac:dyDescent="0.2">
      <c r="A15" s="83" t="s">
        <v>22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</row>
    <row r="19" spans="1:20" x14ac:dyDescent="0.2">
      <c r="A19" s="76"/>
      <c r="B19" s="76"/>
      <c r="C19" s="76"/>
      <c r="D19" s="76"/>
      <c r="E19" s="76"/>
      <c r="F19" s="76"/>
    </row>
    <row r="21" spans="1:20" x14ac:dyDescent="0.2"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</row>
    <row r="22" spans="1:20" x14ac:dyDescent="0.2"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</row>
    <row r="23" spans="1:20" x14ac:dyDescent="0.2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</row>
    <row r="24" spans="1:20" x14ac:dyDescent="0.2"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</row>
    <row r="25" spans="1:20" x14ac:dyDescent="0.2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</row>
    <row r="26" spans="1:20" x14ac:dyDescent="0.2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7"/>
      <c r="T26" s="77"/>
    </row>
    <row r="27" spans="1:20" x14ac:dyDescent="0.2"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</row>
    <row r="28" spans="1:20" x14ac:dyDescent="0.2"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</row>
    <row r="29" spans="1:20" x14ac:dyDescent="0.2">
      <c r="A29" s="76"/>
      <c r="B29" s="77"/>
      <c r="C29" s="77"/>
      <c r="D29" s="77"/>
      <c r="E29" s="77"/>
      <c r="F29" s="77"/>
      <c r="G29" s="77"/>
    </row>
    <row r="35" spans="1:19" x14ac:dyDescent="0.2">
      <c r="A35" s="88"/>
      <c r="B35" s="88"/>
      <c r="C35" s="88"/>
      <c r="D35" s="88"/>
      <c r="E35" s="88"/>
      <c r="F35" s="88"/>
    </row>
    <row r="37" spans="1:19" x14ac:dyDescent="0.2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</row>
    <row r="44" spans="1:19" x14ac:dyDescent="0.2">
      <c r="A44" s="88"/>
      <c r="B44" s="88"/>
      <c r="C44" s="88"/>
      <c r="D44" s="88"/>
      <c r="E44" s="88"/>
      <c r="F44" s="88"/>
    </row>
    <row r="46" spans="1:19" x14ac:dyDescent="0.2"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</row>
  </sheetData>
  <mergeCells count="5">
    <mergeCell ref="B2:Z2"/>
    <mergeCell ref="B3:Z3"/>
    <mergeCell ref="A15:S15"/>
    <mergeCell ref="A35:F35"/>
    <mergeCell ref="A44:F44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revision>2</cp:revision>
  <dcterms:created xsi:type="dcterms:W3CDTF">2006-09-16T00:00:00Z</dcterms:created>
  <dcterms:modified xsi:type="dcterms:W3CDTF">2026-03-26T10:32:43Z</dcterms:modified>
</cp:coreProperties>
</file>